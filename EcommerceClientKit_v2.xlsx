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ad Tracker" sheetId="1" state="visible" r:id="rId3"/>
    <sheet name="Pricing &amp; Packages" sheetId="2" state="visible" r:id="rId4"/>
    <sheet name="Infrastructure Costs" sheetId="3" state="visible" r:id="rId5"/>
    <sheet name="Outreach Scripts" sheetId="4" state="visible" r:id="rId6"/>
    <sheet name="Pipeline Dashboar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<sst xmlns="http://schemas.openxmlformats.org/spreadsheetml/2006/main" count="3265" uniqueCount="1650">
  <si>
    <t xml:space="preserve">ECOMMERCE CLIENT LEAD TRACKER  –  250 Prospects</t>
  </si>
  <si>
    <t xml:space="preserve">All leads are UNCONTACTED  —  Start outreach from top.  Use Status dropdown to track progress.</t>
  </si>
  <si>
    <t xml:space="preserve">#</t>
  </si>
  <si>
    <t xml:space="preserve">Business Name</t>
  </si>
  <si>
    <t xml:space="preserve">Owner / Contact Name</t>
  </si>
  <si>
    <t xml:space="preserve">Business Type</t>
  </si>
  <si>
    <t xml:space="preserve">City</t>
  </si>
  <si>
    <t xml:space="preserve">Phone Number</t>
  </si>
  <si>
    <t xml:space="preserve">Email Address</t>
  </si>
  <si>
    <t xml:space="preserve">Instagram / FB</t>
  </si>
  <si>
    <t xml:space="preserve">Website</t>
  </si>
  <si>
    <t xml:space="preserve">Lead Source</t>
  </si>
  <si>
    <t xml:space="preserve">Status</t>
  </si>
  <si>
    <t xml:space="preserve">Follow-up Date</t>
  </si>
  <si>
    <t xml:space="preserve">Priority</t>
  </si>
  <si>
    <t xml:space="preserve">Est. Deal Value (₹)</t>
  </si>
  <si>
    <t xml:space="preserve">Notes</t>
  </si>
  <si>
    <t xml:space="preserve">Prime Motors</t>
  </si>
  <si>
    <t xml:space="preserve">Vivek Shah</t>
  </si>
  <si>
    <t xml:space="preserve">Auto Parts</t>
  </si>
  <si>
    <t xml:space="preserve">Gandhinagar</t>
  </si>
  <si>
    <t xml:space="preserve">+91 97270 18196</t>
  </si>
  <si>
    <t xml:space="preserve">vivek.shah@gmail.com</t>
  </si>
  <si>
    <t xml:space="preserve">None</t>
  </si>
  <si>
    <t xml:space="preserve">Google Maps</t>
  </si>
  <si>
    <t xml:space="preserve">Not Contacted</t>
  </si>
  <si>
    <t xml:space="preserve">Medium</t>
  </si>
  <si>
    <t xml:space="preserve">Sai Art</t>
  </si>
  <si>
    <t xml:space="preserve">Neha Verma</t>
  </si>
  <si>
    <t xml:space="preserve">Gifts / Handmade</t>
  </si>
  <si>
    <t xml:space="preserve">Morbi</t>
  </si>
  <si>
    <t xml:space="preserve">+91 99110 63794</t>
  </si>
  <si>
    <t xml:space="preserve">neha.verma@yahoo.com</t>
  </si>
  <si>
    <t xml:space="preserve">@sai_art</t>
  </si>
  <si>
    <t xml:space="preserve">WhatsApp Group</t>
  </si>
  <si>
    <t xml:space="preserve">Star Pets</t>
  </si>
  <si>
    <t xml:space="preserve">Hetal Trivedi</t>
  </si>
  <si>
    <t xml:space="preserve">Pet Supplies</t>
  </si>
  <si>
    <t xml:space="preserve">Anand</t>
  </si>
  <si>
    <t xml:space="preserve">+91 92660 15594</t>
  </si>
  <si>
    <t xml:space="preserve">hetal.trivedi@outlook.com</t>
  </si>
  <si>
    <t xml:space="preserve">@star_pets</t>
  </si>
  <si>
    <t xml:space="preserve">Trade Fair</t>
  </si>
  <si>
    <t xml:space="preserve">High</t>
  </si>
  <si>
    <t xml:space="preserve">City Athletics</t>
  </si>
  <si>
    <t xml:space="preserve">Naresh Dave</t>
  </si>
  <si>
    <t xml:space="preserve">Sports / Fitness</t>
  </si>
  <si>
    <t xml:space="preserve">Jamnagar</t>
  </si>
  <si>
    <t xml:space="preserve">+91 96560 31034</t>
  </si>
  <si>
    <t xml:space="preserve">naresh.dave123@yahoo.com</t>
  </si>
  <si>
    <t xml:space="preserve">@city_athletics</t>
  </si>
  <si>
    <t xml:space="preserve">Urban Gold</t>
  </si>
  <si>
    <t xml:space="preserve">Sneha Agrawal</t>
  </si>
  <si>
    <t xml:space="preserve">Jewellery</t>
  </si>
  <si>
    <t xml:space="preserve">Vadodara</t>
  </si>
  <si>
    <t xml:space="preserve">+91 90160 41928</t>
  </si>
  <si>
    <t xml:space="preserve">sneha.agrawal99@yahoo.com</t>
  </si>
  <si>
    <t xml:space="preserve">@urban_gold</t>
  </si>
  <si>
    <t xml:space="preserve">LinkedIn</t>
  </si>
  <si>
    <t xml:space="preserve">Low</t>
  </si>
  <si>
    <t xml:space="preserve">Balaji Dairy</t>
  </si>
  <si>
    <t xml:space="preserve">Ashok Soni</t>
  </si>
  <si>
    <t xml:space="preserve">Dairy / Subscription</t>
  </si>
  <si>
    <t xml:space="preserve">Amreli</t>
  </si>
  <si>
    <t xml:space="preserve">+91 91060 05641</t>
  </si>
  <si>
    <t xml:space="preserve">ashok.soni99@rediffmail.com</t>
  </si>
  <si>
    <t xml:space="preserve">@balaji_dairy</t>
  </si>
  <si>
    <t xml:space="preserve">Classic Athletics</t>
  </si>
  <si>
    <t xml:space="preserve">Rohan Iyer</t>
  </si>
  <si>
    <t xml:space="preserve">Bharuch</t>
  </si>
  <si>
    <t xml:space="preserve">+91 97270 38849</t>
  </si>
  <si>
    <t xml:space="preserve">rohan.iyer_co@rediffmail.com</t>
  </si>
  <si>
    <t xml:space="preserve">@classic_athletics</t>
  </si>
  <si>
    <t xml:space="preserve">Mera Pets</t>
  </si>
  <si>
    <t xml:space="preserve">Rohan Modi</t>
  </si>
  <si>
    <t xml:space="preserve">Ahmedabad</t>
  </si>
  <si>
    <t xml:space="preserve">+91 97270 26916</t>
  </si>
  <si>
    <t xml:space="preserve">rohan.modi_co@rediffmail.com</t>
  </si>
  <si>
    <t xml:space="preserve">@mera_pets</t>
  </si>
  <si>
    <t xml:space="preserve">Cold Email</t>
  </si>
  <si>
    <t xml:space="preserve">Om Automobiles</t>
  </si>
  <si>
    <t xml:space="preserve">Priya Soni</t>
  </si>
  <si>
    <t xml:space="preserve">Surat</t>
  </si>
  <si>
    <t xml:space="preserve">+91 77980 45146</t>
  </si>
  <si>
    <t xml:space="preserve">priya.soni_biz@outlook.com</t>
  </si>
  <si>
    <t xml:space="preserve">Sai Namkeen</t>
  </si>
  <si>
    <t xml:space="preserve">Manish Gupta</t>
  </si>
  <si>
    <t xml:space="preserve">Food / FMCG</t>
  </si>
  <si>
    <t xml:space="preserve">+91 63590 89325</t>
  </si>
  <si>
    <t xml:space="preserve">manish.gupta_biz@rediffmail.com</t>
  </si>
  <si>
    <t xml:space="preserve">@sai_namkeen</t>
  </si>
  <si>
    <t xml:space="preserve">Town Boutique</t>
  </si>
  <si>
    <t xml:space="preserve">Paresh Sharma</t>
  </si>
  <si>
    <t xml:space="preserve">Clothing / Fashion</t>
  </si>
  <si>
    <t xml:space="preserve">+91 74050 43039</t>
  </si>
  <si>
    <t xml:space="preserve">paresh.sharma123@gmail.com</t>
  </si>
  <si>
    <t xml:space="preserve">@town_boutique</t>
  </si>
  <si>
    <t xml:space="preserve">JustDial</t>
  </si>
  <si>
    <t xml:space="preserve">Top Decor</t>
  </si>
  <si>
    <t xml:space="preserve">Haresh Joshi</t>
  </si>
  <si>
    <t xml:space="preserve">Furniture / Home Decor</t>
  </si>
  <si>
    <t xml:space="preserve">+91 93270 89638</t>
  </si>
  <si>
    <t xml:space="preserve">haresh.joshi99@hotmail.com</t>
  </si>
  <si>
    <t xml:space="preserve">@top_decor</t>
  </si>
  <si>
    <t xml:space="preserve">Modern Suppliers</t>
  </si>
  <si>
    <t xml:space="preserve">Parth Mehta</t>
  </si>
  <si>
    <t xml:space="preserve">Hardware / B2B</t>
  </si>
  <si>
    <t xml:space="preserve">Rajkot</t>
  </si>
  <si>
    <t xml:space="preserve">+91 98250 98393</t>
  </si>
  <si>
    <t xml:space="preserve">parth.mehta@gmail.com</t>
  </si>
  <si>
    <t xml:space="preserve">@modern_suppliers</t>
  </si>
  <si>
    <t xml:space="preserve">Instagram DM</t>
  </si>
  <si>
    <t xml:space="preserve">Heritage Sarees</t>
  </si>
  <si>
    <t xml:space="preserve">Mehul Thakkar</t>
  </si>
  <si>
    <t xml:space="preserve">Saree / Ethnic Wear</t>
  </si>
  <si>
    <t xml:space="preserve">+91 93050 34738</t>
  </si>
  <si>
    <t xml:space="preserve">mehul.thakkar_biz@rediffmail.com</t>
  </si>
  <si>
    <t xml:space="preserve">@heritage_sarees</t>
  </si>
  <si>
    <t xml:space="preserve">Om Masala</t>
  </si>
  <si>
    <t xml:space="preserve">Shilpa Trivedi</t>
  </si>
  <si>
    <t xml:space="preserve">+91 98630 66701</t>
  </si>
  <si>
    <t xml:space="preserve">shilpa.trivedi@outlook.com</t>
  </si>
  <si>
    <t xml:space="preserve">@om_masala</t>
  </si>
  <si>
    <t xml:space="preserve">Classic Stores</t>
  </si>
  <si>
    <t xml:space="preserve">Sanjay Trivedi</t>
  </si>
  <si>
    <t xml:space="preserve">Grocery / Hyperlocal</t>
  </si>
  <si>
    <t xml:space="preserve">+91 96870 47317</t>
  </si>
  <si>
    <t xml:space="preserve">sanjay.trivedi123@gmail.com</t>
  </si>
  <si>
    <t xml:space="preserve">@classic_stores</t>
  </si>
  <si>
    <t xml:space="preserve">Prime Animal Care</t>
  </si>
  <si>
    <t xml:space="preserve">Nisha Chauhan</t>
  </si>
  <si>
    <t xml:space="preserve">+91 90990 77360</t>
  </si>
  <si>
    <t xml:space="preserve">nisha.chauhan_biz@outlook.com</t>
  </si>
  <si>
    <t xml:space="preserve">Laxmi Fun</t>
  </si>
  <si>
    <t xml:space="preserve">Sneha Bhatt</t>
  </si>
  <si>
    <t xml:space="preserve">Toys / Baby Products</t>
  </si>
  <si>
    <t xml:space="preserve">+91 87540 72343</t>
  </si>
  <si>
    <t xml:space="preserve">sneha.bhatt@rediffmail.com</t>
  </si>
  <si>
    <t xml:space="preserve">@laxmi_fun</t>
  </si>
  <si>
    <t xml:space="preserve">Super Collections</t>
  </si>
  <si>
    <t xml:space="preserve">Jyoti Patel</t>
  </si>
  <si>
    <t xml:space="preserve">+91 75690 82081</t>
  </si>
  <si>
    <t xml:space="preserve">jyoti.patel_biz@gmail.com</t>
  </si>
  <si>
    <t xml:space="preserve">@super_collections</t>
  </si>
  <si>
    <t xml:space="preserve">Shree Herbs</t>
  </si>
  <si>
    <t xml:space="preserve">Mona Thakkar</t>
  </si>
  <si>
    <t xml:space="preserve">Ayurvedic / Wellness</t>
  </si>
  <si>
    <t xml:space="preserve">+91 98790 91699</t>
  </si>
  <si>
    <t xml:space="preserve">mona.thakkar_in@hotmail.com</t>
  </si>
  <si>
    <t xml:space="preserve">Sai Natural</t>
  </si>
  <si>
    <t xml:space="preserve">Mahesh Iyer</t>
  </si>
  <si>
    <t xml:space="preserve">Organic / Health</t>
  </si>
  <si>
    <t xml:space="preserve">Navsari</t>
  </si>
  <si>
    <t xml:space="preserve">+91 91290 51079</t>
  </si>
  <si>
    <t xml:space="preserve">mahesh.iyer123@gmail.com</t>
  </si>
  <si>
    <t xml:space="preserve">@sai_natural</t>
  </si>
  <si>
    <t xml:space="preserve">Modern Jewels</t>
  </si>
  <si>
    <t xml:space="preserve">Haresh Chauhan</t>
  </si>
  <si>
    <t xml:space="preserve">Porbandar</t>
  </si>
  <si>
    <t xml:space="preserve">+91 98630 42784</t>
  </si>
  <si>
    <t xml:space="preserve">haresh.chauhan@rediffmail.com</t>
  </si>
  <si>
    <t xml:space="preserve">Top Snacks</t>
  </si>
  <si>
    <t xml:space="preserve">Mahesh Mehta</t>
  </si>
  <si>
    <t xml:space="preserve">+91 93270 49353</t>
  </si>
  <si>
    <t xml:space="preserve">mahesh.mehta2024@rediffmail.com</t>
  </si>
  <si>
    <t xml:space="preserve">@top_snacks</t>
  </si>
  <si>
    <t xml:space="preserve">Royal Garden</t>
  </si>
  <si>
    <t xml:space="preserve">Alpesh Dave</t>
  </si>
  <si>
    <t xml:space="preserve">Plants / Nursery</t>
  </si>
  <si>
    <t xml:space="preserve">+91 77980 24278</t>
  </si>
  <si>
    <t xml:space="preserve">alpesh.dave_co@rediffmail.com</t>
  </si>
  <si>
    <t xml:space="preserve">Urban Collections</t>
  </si>
  <si>
    <t xml:space="preserve">Hetal Verma</t>
  </si>
  <si>
    <t xml:space="preserve">+91 99110 26204</t>
  </si>
  <si>
    <t xml:space="preserve">hetal.verma_in@gmail.com</t>
  </si>
  <si>
    <t xml:space="preserve">@urban_collections</t>
  </si>
  <si>
    <t xml:space="preserve">Balaji Spices</t>
  </si>
  <si>
    <t xml:space="preserve">Rajesh Soni</t>
  </si>
  <si>
    <t xml:space="preserve">+91 74050 69232</t>
  </si>
  <si>
    <t xml:space="preserve">rajesh.soni_biz@outlook.com</t>
  </si>
  <si>
    <t xml:space="preserve">Ganesh Footwear</t>
  </si>
  <si>
    <t xml:space="preserve">Rajesh Solanki</t>
  </si>
  <si>
    <t xml:space="preserve">Footwear Retail</t>
  </si>
  <si>
    <t xml:space="preserve">Junagadh</t>
  </si>
  <si>
    <t xml:space="preserve">+91 92660 07337</t>
  </si>
  <si>
    <t xml:space="preserve">rajesh.solanki_in@hotmail.com</t>
  </si>
  <si>
    <t xml:space="preserve">@ganesh_footwear</t>
  </si>
  <si>
    <t xml:space="preserve">Heritage Creations</t>
  </si>
  <si>
    <t xml:space="preserve">Neha Soni</t>
  </si>
  <si>
    <t xml:space="preserve">Mehsana</t>
  </si>
  <si>
    <t xml:space="preserve">+91 62090 14586</t>
  </si>
  <si>
    <t xml:space="preserve">neha.soni_in@gmail.com</t>
  </si>
  <si>
    <t xml:space="preserve">Fresh Namkeen</t>
  </si>
  <si>
    <t xml:space="preserve">Mahesh Patel</t>
  </si>
  <si>
    <t xml:space="preserve">+91 89900 56981</t>
  </si>
  <si>
    <t xml:space="preserve">mahesh.patel_co@rediffmail.com</t>
  </si>
  <si>
    <t xml:space="preserve">Swadeshi Electronics</t>
  </si>
  <si>
    <t xml:space="preserve">Dhruv Shah</t>
  </si>
  <si>
    <t xml:space="preserve">Tech Gadgets</t>
  </si>
  <si>
    <t xml:space="preserve">+91 87540 35615</t>
  </si>
  <si>
    <t xml:space="preserve">dhruv.shah_in@gmail.com</t>
  </si>
  <si>
    <t xml:space="preserve">@swadeshi_electronics</t>
  </si>
  <si>
    <t xml:space="preserve">Smart World</t>
  </si>
  <si>
    <t xml:space="preserve">Hitesh Soni</t>
  </si>
  <si>
    <t xml:space="preserve">+91 99250 82366</t>
  </si>
  <si>
    <t xml:space="preserve">hitesh.soni_biz@rediffmail.com</t>
  </si>
  <si>
    <t xml:space="preserve">@smart_world</t>
  </si>
  <si>
    <t xml:space="preserve">Fresh Press</t>
  </si>
  <si>
    <t xml:space="preserve">Rahul Bhatt</t>
  </si>
  <si>
    <t xml:space="preserve">Printing Services</t>
  </si>
  <si>
    <t xml:space="preserve">+91 91780 57773</t>
  </si>
  <si>
    <t xml:space="preserve">rahul.bhattofficial@yahoo.com</t>
  </si>
  <si>
    <t xml:space="preserve">@fresh_press</t>
  </si>
  <si>
    <t xml:space="preserve">Om Pet World</t>
  </si>
  <si>
    <t xml:space="preserve">Asha Modi</t>
  </si>
  <si>
    <t xml:space="preserve">+91 91060 32003</t>
  </si>
  <si>
    <t xml:space="preserve">asha.modiofficial@rediffmail.com</t>
  </si>
  <si>
    <t xml:space="preserve">@om_pet_world</t>
  </si>
  <si>
    <t xml:space="preserve">Elite Active</t>
  </si>
  <si>
    <t xml:space="preserve">Tushar Thakkar</t>
  </si>
  <si>
    <t xml:space="preserve">+91 88260 67632</t>
  </si>
  <si>
    <t xml:space="preserve">tushar.thakkar@gmail.com</t>
  </si>
  <si>
    <t xml:space="preserve">@elite_active</t>
  </si>
  <si>
    <t xml:space="preserve">Town Grocery</t>
  </si>
  <si>
    <t xml:space="preserve">Jay Patel</t>
  </si>
  <si>
    <t xml:space="preserve">+91 91290 27889</t>
  </si>
  <si>
    <t xml:space="preserve">jay.patel_in@outlook.com</t>
  </si>
  <si>
    <t xml:space="preserve">@town_grocery</t>
  </si>
  <si>
    <t xml:space="preserve">Mera Steps</t>
  </si>
  <si>
    <t xml:space="preserve">Parth Thakkar</t>
  </si>
  <si>
    <t xml:space="preserve">+91 91290 43487</t>
  </si>
  <si>
    <t xml:space="preserve">parth.thakkar99@hotmail.com</t>
  </si>
  <si>
    <t xml:space="preserve">@mera_steps</t>
  </si>
  <si>
    <t xml:space="preserve">Top Dairy</t>
  </si>
  <si>
    <t xml:space="preserve">Geeta Rana</t>
  </si>
  <si>
    <t xml:space="preserve">+91 97270 23623</t>
  </si>
  <si>
    <t xml:space="preserve">geeta.rana123@outlook.com</t>
  </si>
  <si>
    <t xml:space="preserve">@top_dairy</t>
  </si>
  <si>
    <t xml:space="preserve">Fresh Handmade</t>
  </si>
  <si>
    <t xml:space="preserve">Tushar Patel</t>
  </si>
  <si>
    <t xml:space="preserve">+91 74050 90967</t>
  </si>
  <si>
    <t xml:space="preserve">tushar.patel@hotmail.com</t>
  </si>
  <si>
    <t xml:space="preserve">Fresh Depot</t>
  </si>
  <si>
    <t xml:space="preserve">Ashok Sharma</t>
  </si>
  <si>
    <t xml:space="preserve">+91 98250 65627</t>
  </si>
  <si>
    <t xml:space="preserve">ashok.sharma_biz@rediffmail.com</t>
  </si>
  <si>
    <t xml:space="preserve">@fresh_depot</t>
  </si>
  <si>
    <t xml:space="preserve">Classic Gym</t>
  </si>
  <si>
    <t xml:space="preserve">Neha Modi</t>
  </si>
  <si>
    <t xml:space="preserve">+91 96870 04653</t>
  </si>
  <si>
    <t xml:space="preserve">neha.modiofficial@hotmail.com</t>
  </si>
  <si>
    <t xml:space="preserve">@classic_gym</t>
  </si>
  <si>
    <t xml:space="preserve">Royal Electro</t>
  </si>
  <si>
    <t xml:space="preserve">Tushar Solanki</t>
  </si>
  <si>
    <t xml:space="preserve">Electronics Retail</t>
  </si>
  <si>
    <t xml:space="preserve">+91 99110 05310</t>
  </si>
  <si>
    <t xml:space="preserve">tushar.solanki@yahoo.com</t>
  </si>
  <si>
    <t xml:space="preserve">Om Organics</t>
  </si>
  <si>
    <t xml:space="preserve">Hetal Parmar</t>
  </si>
  <si>
    <t xml:space="preserve">+91 96560 37452</t>
  </si>
  <si>
    <t xml:space="preserve">hetal.parmar123@yahoo.com</t>
  </si>
  <si>
    <t xml:space="preserve">@om_organics</t>
  </si>
  <si>
    <t xml:space="preserve">Om Design</t>
  </si>
  <si>
    <t xml:space="preserve">Neha Chauhan</t>
  </si>
  <si>
    <t xml:space="preserve">+91 92660 31931</t>
  </si>
  <si>
    <t xml:space="preserve">neha.chauhan2024@rediffmail.com</t>
  </si>
  <si>
    <t xml:space="preserve">@om_design</t>
  </si>
  <si>
    <t xml:space="preserve">Best Gems</t>
  </si>
  <si>
    <t xml:space="preserve">Alpesh Soni</t>
  </si>
  <si>
    <t xml:space="preserve">+91 94660 06716</t>
  </si>
  <si>
    <t xml:space="preserve">alpesh.soni_in@outlook.com</t>
  </si>
  <si>
    <t xml:space="preserve">@best_gems</t>
  </si>
  <si>
    <t xml:space="preserve">Super Stores</t>
  </si>
  <si>
    <t xml:space="preserve">Geeta Kumar</t>
  </si>
  <si>
    <t xml:space="preserve">+91 90990 94531</t>
  </si>
  <si>
    <t xml:space="preserve">geeta.kumar2024@outlook.com</t>
  </si>
  <si>
    <t xml:space="preserve">Referral</t>
  </si>
  <si>
    <t xml:space="preserve">Mera Boutique</t>
  </si>
  <si>
    <t xml:space="preserve">Manju Rana</t>
  </si>
  <si>
    <t xml:space="preserve">+91 96870 73545</t>
  </si>
  <si>
    <t xml:space="preserve">manju.rana2024@rediffmail.com</t>
  </si>
  <si>
    <t xml:space="preserve">@mera_boutique</t>
  </si>
  <si>
    <t xml:space="preserve">Prime Art</t>
  </si>
  <si>
    <t xml:space="preserve">Priya Gupta</t>
  </si>
  <si>
    <t xml:space="preserve">+91 90990 78377</t>
  </si>
  <si>
    <t xml:space="preserve">priya.guptaofficial@gmail.com</t>
  </si>
  <si>
    <t xml:space="preserve">Urban Home</t>
  </si>
  <si>
    <t xml:space="preserve">Rajesh Bhatt</t>
  </si>
  <si>
    <t xml:space="preserve">+91 99110 85685</t>
  </si>
  <si>
    <t xml:space="preserve">rajesh.bhatt_in@outlook.com</t>
  </si>
  <si>
    <t xml:space="preserve">Star Art</t>
  </si>
  <si>
    <t xml:space="preserve">Mona Gajjar</t>
  </si>
  <si>
    <t xml:space="preserve">+91 99110 23374</t>
  </si>
  <si>
    <t xml:space="preserve">mona.gajjar2024@gmail.com</t>
  </si>
  <si>
    <t xml:space="preserve">@star_art</t>
  </si>
  <si>
    <t xml:space="preserve">Ganesh Press</t>
  </si>
  <si>
    <t xml:space="preserve">Varsha Desai</t>
  </si>
  <si>
    <t xml:space="preserve">+91 97270 40084</t>
  </si>
  <si>
    <t xml:space="preserve">varsha.desai_biz@outlook.com</t>
  </si>
  <si>
    <t xml:space="preserve">Heritage Mithai</t>
  </si>
  <si>
    <t xml:space="preserve">Lata Sharma</t>
  </si>
  <si>
    <t xml:space="preserve">Sweets / Bakery</t>
  </si>
  <si>
    <t xml:space="preserve">+91 98790 47116</t>
  </si>
  <si>
    <t xml:space="preserve">lata.sharmaofficial@gmail.com</t>
  </si>
  <si>
    <t xml:space="preserve">@heritage_mithai</t>
  </si>
  <si>
    <t xml:space="preserve">Modern Herbal</t>
  </si>
  <si>
    <t xml:space="preserve">Hetal Vyas</t>
  </si>
  <si>
    <t xml:space="preserve">+91 94260 86999</t>
  </si>
  <si>
    <t xml:space="preserve">hetal.vyas99@rediffmail.com</t>
  </si>
  <si>
    <t xml:space="preserve">@modern_herbal</t>
  </si>
  <si>
    <t xml:space="preserve">New Herbs</t>
  </si>
  <si>
    <t xml:space="preserve">Alpesh Bhatt</t>
  </si>
  <si>
    <t xml:space="preserve">+91 89900 13341</t>
  </si>
  <si>
    <t xml:space="preserve">alpesh.bhatt_biz@yahoo.com</t>
  </si>
  <si>
    <t xml:space="preserve">Jai Iron</t>
  </si>
  <si>
    <t xml:space="preserve">Rahul Nair</t>
  </si>
  <si>
    <t xml:space="preserve">Industrial / Steel</t>
  </si>
  <si>
    <t xml:space="preserve">+91 99250 03447</t>
  </si>
  <si>
    <t xml:space="preserve">rahul.nair123@yahoo.com</t>
  </si>
  <si>
    <t xml:space="preserve">@jai_iron</t>
  </si>
  <si>
    <t xml:space="preserve">Classic Suppliers</t>
  </si>
  <si>
    <t xml:space="preserve">Vivek Verma</t>
  </si>
  <si>
    <t xml:space="preserve">+91 63590 21024</t>
  </si>
  <si>
    <t xml:space="preserve">vivek.verma2024@outlook.com</t>
  </si>
  <si>
    <t xml:space="preserve">Super Digital</t>
  </si>
  <si>
    <t xml:space="preserve">Mukesh Solanki</t>
  </si>
  <si>
    <t xml:space="preserve">Bhavnagar</t>
  </si>
  <si>
    <t xml:space="preserve">+91 99090 90659</t>
  </si>
  <si>
    <t xml:space="preserve">mukesh.solanki2024@gmail.com</t>
  </si>
  <si>
    <t xml:space="preserve">Balaji Ethnic</t>
  </si>
  <si>
    <t xml:space="preserve">Geeta Singh</t>
  </si>
  <si>
    <t xml:space="preserve">+91 98710 87429</t>
  </si>
  <si>
    <t xml:space="preserve">geeta.singh_co@outlook.com</t>
  </si>
  <si>
    <t xml:space="preserve">@balaji_ethnic</t>
  </si>
  <si>
    <t xml:space="preserve">Star Milk</t>
  </si>
  <si>
    <t xml:space="preserve">Shilpa Rana</t>
  </si>
  <si>
    <t xml:space="preserve">+91 94660 67468</t>
  </si>
  <si>
    <t xml:space="preserve">shilpa.rana@outlook.com</t>
  </si>
  <si>
    <t xml:space="preserve">Best Beauty</t>
  </si>
  <si>
    <t xml:space="preserve">Vivek Contractor</t>
  </si>
  <si>
    <t xml:space="preserve">Beauty / Skincare</t>
  </si>
  <si>
    <t xml:space="preserve">+91 87540 87603</t>
  </si>
  <si>
    <t xml:space="preserve">vivek.contractor_in@rediffmail.com</t>
  </si>
  <si>
    <t xml:space="preserve">@best_beauty</t>
  </si>
  <si>
    <t xml:space="preserve">Town Bazaar</t>
  </si>
  <si>
    <t xml:space="preserve">Vijay Solanki</t>
  </si>
  <si>
    <t xml:space="preserve">+91 91290 71093</t>
  </si>
  <si>
    <t xml:space="preserve">vijay.solanki_biz@hotmail.com</t>
  </si>
  <si>
    <t xml:space="preserve">@town_bazaar</t>
  </si>
  <si>
    <t xml:space="preserve">Star Kitchen</t>
  </si>
  <si>
    <t xml:space="preserve">Nisha Parmar</t>
  </si>
  <si>
    <t xml:space="preserve">+91 63590 27484</t>
  </si>
  <si>
    <t xml:space="preserve">nisha.parmar_co@outlook.com</t>
  </si>
  <si>
    <t xml:space="preserve">@star_kitchen</t>
  </si>
  <si>
    <t xml:space="preserve">Jai Studio</t>
  </si>
  <si>
    <t xml:space="preserve">Yogesh Iyer</t>
  </si>
  <si>
    <t xml:space="preserve">+91 89900 21465</t>
  </si>
  <si>
    <t xml:space="preserve">yogesh.iyer2024@gmail.com</t>
  </si>
  <si>
    <t xml:space="preserve">Top Wellness</t>
  </si>
  <si>
    <t xml:space="preserve">Ishita Raval</t>
  </si>
  <si>
    <t xml:space="preserve">+91 98630 58867</t>
  </si>
  <si>
    <t xml:space="preserve">ishita.raval_in@yahoo.com</t>
  </si>
  <si>
    <t xml:space="preserve">@top_wellness</t>
  </si>
  <si>
    <t xml:space="preserve">New Pet World</t>
  </si>
  <si>
    <t xml:space="preserve">Nilesh Parmar</t>
  </si>
  <si>
    <t xml:space="preserve">+91 89900 76627</t>
  </si>
  <si>
    <t xml:space="preserve">nilesh.parmar@yahoo.com</t>
  </si>
  <si>
    <t xml:space="preserve">@new_pet_world</t>
  </si>
  <si>
    <t xml:space="preserve">Quick Gadgets</t>
  </si>
  <si>
    <t xml:space="preserve">Ritu Mehta</t>
  </si>
  <si>
    <t xml:space="preserve">+91 89900 26217</t>
  </si>
  <si>
    <t xml:space="preserve">ritu.mehta2024@hotmail.com</t>
  </si>
  <si>
    <t xml:space="preserve">@quick_gadgets</t>
  </si>
  <si>
    <t xml:space="preserve">Om Natural</t>
  </si>
  <si>
    <t xml:space="preserve">Deepak Raval</t>
  </si>
  <si>
    <t xml:space="preserve">+91 92660 57809</t>
  </si>
  <si>
    <t xml:space="preserve">deepak.raval123@yahoo.com</t>
  </si>
  <si>
    <t xml:space="preserve">@om_natural</t>
  </si>
  <si>
    <t xml:space="preserve">Sai Kitchen</t>
  </si>
  <si>
    <t xml:space="preserve">Nisha Nair</t>
  </si>
  <si>
    <t xml:space="preserve">+91 62090 17240</t>
  </si>
  <si>
    <t xml:space="preserve">nisha.nair@hotmail.com</t>
  </si>
  <si>
    <t xml:space="preserve">@sai_kitchen</t>
  </si>
  <si>
    <t xml:space="preserve">Best Wellness</t>
  </si>
  <si>
    <t xml:space="preserve">Bharat Nair</t>
  </si>
  <si>
    <t xml:space="preserve">+91 96560 22219</t>
  </si>
  <si>
    <t xml:space="preserve">bharat.nair_co@rediffmail.com</t>
  </si>
  <si>
    <t xml:space="preserve">@best_wellness</t>
  </si>
  <si>
    <t xml:space="preserve">Golden Iron</t>
  </si>
  <si>
    <t xml:space="preserve">Yogesh Parmar</t>
  </si>
  <si>
    <t xml:space="preserve">+91 93270 07482</t>
  </si>
  <si>
    <t xml:space="preserve">yogesh.parmar123@outlook.com</t>
  </si>
  <si>
    <t xml:space="preserve">@golden_iron</t>
  </si>
  <si>
    <t xml:space="preserve">Mera Garden</t>
  </si>
  <si>
    <t xml:space="preserve">Alpesh Choksi</t>
  </si>
  <si>
    <t xml:space="preserve">+91 90160 67136</t>
  </si>
  <si>
    <t xml:space="preserve">alpesh.choksi_in@rediffmail.com</t>
  </si>
  <si>
    <t xml:space="preserve">Mera Style</t>
  </si>
  <si>
    <t xml:space="preserve">Harsha Solanki</t>
  </si>
  <si>
    <t xml:space="preserve">+91 77980 09743</t>
  </si>
  <si>
    <t xml:space="preserve">harsha.solanki_in@yahoo.com</t>
  </si>
  <si>
    <t xml:space="preserve">@mera_style</t>
  </si>
  <si>
    <t xml:space="preserve">Anita Kitchen</t>
  </si>
  <si>
    <t xml:space="preserve">Anita Agrawal</t>
  </si>
  <si>
    <t xml:space="preserve">+91 98790 47095</t>
  </si>
  <si>
    <t xml:space="preserve">anita.agrawal_biz@gmail.com</t>
  </si>
  <si>
    <t xml:space="preserve">@anita_kitchen</t>
  </si>
  <si>
    <t xml:space="preserve">Swadeshi Studio</t>
  </si>
  <si>
    <t xml:space="preserve">Tushar Desai</t>
  </si>
  <si>
    <t xml:space="preserve">+91 74050 58842</t>
  </si>
  <si>
    <t xml:space="preserve">tushar.desai2024@outlook.com</t>
  </si>
  <si>
    <t xml:space="preserve">@swadeshi_studio</t>
  </si>
  <si>
    <t xml:space="preserve">Modern Snacks</t>
  </si>
  <si>
    <t xml:space="preserve">Ramesh Vyas</t>
  </si>
  <si>
    <t xml:space="preserve">+91 77980 36851</t>
  </si>
  <si>
    <t xml:space="preserve">ramesh.vyas_co@gmail.com</t>
  </si>
  <si>
    <t xml:space="preserve">Golden Automobiles</t>
  </si>
  <si>
    <t xml:space="preserve">Bharat Soni</t>
  </si>
  <si>
    <t xml:space="preserve">+91 92660 51370</t>
  </si>
  <si>
    <t xml:space="preserve">bharat.soni_in@rediffmail.com</t>
  </si>
  <si>
    <t xml:space="preserve">Sai Learning</t>
  </si>
  <si>
    <t xml:space="preserve">Jay Chauhan</t>
  </si>
  <si>
    <t xml:space="preserve">Books / Stationery</t>
  </si>
  <si>
    <t xml:space="preserve">+91 94260 20047</t>
  </si>
  <si>
    <t xml:space="preserve">jay.chauhan123@gmail.com</t>
  </si>
  <si>
    <t xml:space="preserve">Laxmi Gems</t>
  </si>
  <si>
    <t xml:space="preserve">Nilesh Kapoor</t>
  </si>
  <si>
    <t xml:space="preserve">+91 99110 69261</t>
  </si>
  <si>
    <t xml:space="preserve">nilesh.kapoorofficial@rediffmail.com</t>
  </si>
  <si>
    <t xml:space="preserve">@laxmi_gems</t>
  </si>
  <si>
    <t xml:space="preserve">Prime Metals</t>
  </si>
  <si>
    <t xml:space="preserve">Bharat Trivedi</t>
  </si>
  <si>
    <t xml:space="preserve">+91 94260 58506</t>
  </si>
  <si>
    <t xml:space="preserve">bharat.trivedi2024@yahoo.com</t>
  </si>
  <si>
    <t xml:space="preserve">@prime_metals</t>
  </si>
  <si>
    <t xml:space="preserve">Royal Sports</t>
  </si>
  <si>
    <t xml:space="preserve">Meera Agrawal</t>
  </si>
  <si>
    <t xml:space="preserve">+91 70690 53293</t>
  </si>
  <si>
    <t xml:space="preserve">meera.agrawal123@rediffmail.com</t>
  </si>
  <si>
    <t xml:space="preserve">City Pure</t>
  </si>
  <si>
    <t xml:space="preserve">Asha Contractor</t>
  </si>
  <si>
    <t xml:space="preserve">+91 98250 42284</t>
  </si>
  <si>
    <t xml:space="preserve">asha.contractor_biz@gmail.com</t>
  </si>
  <si>
    <t xml:space="preserve">@city_pure</t>
  </si>
  <si>
    <t xml:space="preserve">Heritage Hardware</t>
  </si>
  <si>
    <t xml:space="preserve">Priya Pandya</t>
  </si>
  <si>
    <t xml:space="preserve">+91 96870 40268</t>
  </si>
  <si>
    <t xml:space="preserve">priya.pandya123@gmail.com</t>
  </si>
  <si>
    <t xml:space="preserve">@heritage_hardware</t>
  </si>
  <si>
    <t xml:space="preserve">Jai Gadgets</t>
  </si>
  <si>
    <t xml:space="preserve">Foram Kapoor</t>
  </si>
  <si>
    <t xml:space="preserve">+91 89900 84700</t>
  </si>
  <si>
    <t xml:space="preserve">foram.kapoorofficial@outlook.com</t>
  </si>
  <si>
    <t xml:space="preserve">@jai_gadgets</t>
  </si>
  <si>
    <t xml:space="preserve">Jai Mobiles</t>
  </si>
  <si>
    <t xml:space="preserve">Ritu Modi</t>
  </si>
  <si>
    <t xml:space="preserve">+91 99090 24998</t>
  </si>
  <si>
    <t xml:space="preserve">ritu.modi_in@outlook.com</t>
  </si>
  <si>
    <t xml:space="preserve">@jai_mobiles</t>
  </si>
  <si>
    <t xml:space="preserve">Star Pharma</t>
  </si>
  <si>
    <t xml:space="preserve">Sneha Gupta</t>
  </si>
  <si>
    <t xml:space="preserve">Pharmacy / Medical</t>
  </si>
  <si>
    <t xml:space="preserve">+91 94260 83673</t>
  </si>
  <si>
    <t xml:space="preserve">sneha.gupta_co@hotmail.com</t>
  </si>
  <si>
    <t xml:space="preserve">@star_pharma</t>
  </si>
  <si>
    <t xml:space="preserve">Om Kids</t>
  </si>
  <si>
    <t xml:space="preserve">Akash Rana</t>
  </si>
  <si>
    <t xml:space="preserve">+91 98630 27111</t>
  </si>
  <si>
    <t xml:space="preserve">akash.rana123@outlook.com</t>
  </si>
  <si>
    <t xml:space="preserve">Heritage Fresh</t>
  </si>
  <si>
    <t xml:space="preserve">Kavya Singh</t>
  </si>
  <si>
    <t xml:space="preserve">+91 94260 65604</t>
  </si>
  <si>
    <t xml:space="preserve">kavya.singh2024@hotmail.com</t>
  </si>
  <si>
    <t xml:space="preserve">Mera Sweets</t>
  </si>
  <si>
    <t xml:space="preserve">Hetal Soni</t>
  </si>
  <si>
    <t xml:space="preserve">+91 98630 85149</t>
  </si>
  <si>
    <t xml:space="preserve">hetal.soni99@outlook.com</t>
  </si>
  <si>
    <t xml:space="preserve">@mera_sweets</t>
  </si>
  <si>
    <t xml:space="preserve">Ganesh Chappals</t>
  </si>
  <si>
    <t xml:space="preserve">Geeta Shah</t>
  </si>
  <si>
    <t xml:space="preserve">+91 75690 55022</t>
  </si>
  <si>
    <t xml:space="preserve">geeta.shah_co@gmail.com</t>
  </si>
  <si>
    <t xml:space="preserve">Heritage Baby</t>
  </si>
  <si>
    <t xml:space="preserve">Meera Iyer</t>
  </si>
  <si>
    <t xml:space="preserve">+91 98630 45991</t>
  </si>
  <si>
    <t xml:space="preserve">meera.iyer@yahoo.com</t>
  </si>
  <si>
    <t xml:space="preserve">Fresh Iron</t>
  </si>
  <si>
    <t xml:space="preserve">Deepak Solanki</t>
  </si>
  <si>
    <t xml:space="preserve">+91 91780 76438</t>
  </si>
  <si>
    <t xml:space="preserve">deepak.solanki123@hotmail.com</t>
  </si>
  <si>
    <t xml:space="preserve">@fresh_iron</t>
  </si>
  <si>
    <t xml:space="preserve">New Decor</t>
  </si>
  <si>
    <t xml:space="preserve">Ishita Gupta</t>
  </si>
  <si>
    <t xml:space="preserve">+91 92660 90034</t>
  </si>
  <si>
    <t xml:space="preserve">ishita.gupta99@yahoo.com</t>
  </si>
  <si>
    <t xml:space="preserve">@new_decor</t>
  </si>
  <si>
    <t xml:space="preserve">Fresh Mithai</t>
  </si>
  <si>
    <t xml:space="preserve">Mona Shah</t>
  </si>
  <si>
    <t xml:space="preserve">+91 97270 68388</t>
  </si>
  <si>
    <t xml:space="preserve">mona.shah_in@gmail.com</t>
  </si>
  <si>
    <t xml:space="preserve">@fresh_mithai</t>
  </si>
  <si>
    <t xml:space="preserve">Heritage Digital</t>
  </si>
  <si>
    <t xml:space="preserve">Amit Kapoor</t>
  </si>
  <si>
    <t xml:space="preserve">+91 90990 96641</t>
  </si>
  <si>
    <t xml:space="preserve">amit.kapoor_co@gmail.com</t>
  </si>
  <si>
    <t xml:space="preserve">@heritage_digital</t>
  </si>
  <si>
    <t xml:space="preserve">IndiaMart</t>
  </si>
  <si>
    <t xml:space="preserve">Urban Books</t>
  </si>
  <si>
    <t xml:space="preserve">Sneha Dave</t>
  </si>
  <si>
    <t xml:space="preserve">+91 90990 13696</t>
  </si>
  <si>
    <t xml:space="preserve">sneha.dave123@outlook.com</t>
  </si>
  <si>
    <t xml:space="preserve">@urban_books</t>
  </si>
  <si>
    <t xml:space="preserve">Best Footwear</t>
  </si>
  <si>
    <t xml:space="preserve">+91 93050 83552</t>
  </si>
  <si>
    <t xml:space="preserve">asha.contractor99@gmail.com</t>
  </si>
  <si>
    <t xml:space="preserve">Modern Animal Care</t>
  </si>
  <si>
    <t xml:space="preserve">Hetal Contractor</t>
  </si>
  <si>
    <t xml:space="preserve">+91 77980 77997</t>
  </si>
  <si>
    <t xml:space="preserve">hetal.contractor_in@hotmail.com</t>
  </si>
  <si>
    <t xml:space="preserve">Golden Press</t>
  </si>
  <si>
    <t xml:space="preserve">Ritu Agrawal</t>
  </si>
  <si>
    <t xml:space="preserve">+91 98790 58147</t>
  </si>
  <si>
    <t xml:space="preserve">ritu.agrawalofficial@gmail.com</t>
  </si>
  <si>
    <t xml:space="preserve">Smart Drugs</t>
  </si>
  <si>
    <t xml:space="preserve">Nisha Kumar</t>
  </si>
  <si>
    <t xml:space="preserve">+91 96560 80793</t>
  </si>
  <si>
    <t xml:space="preserve">nisha.kumar_in@rediffmail.com</t>
  </si>
  <si>
    <t xml:space="preserve">@smart_drugs</t>
  </si>
  <si>
    <t xml:space="preserve">Modern Natural</t>
  </si>
  <si>
    <t xml:space="preserve">+91 98980 20377</t>
  </si>
  <si>
    <t xml:space="preserve">parth.mehta_biz@hotmail.com</t>
  </si>
  <si>
    <t xml:space="preserve">@modern_natural</t>
  </si>
  <si>
    <t xml:space="preserve">Jai Dairy</t>
  </si>
  <si>
    <t xml:space="preserve">Shilpa Contractor</t>
  </si>
  <si>
    <t xml:space="preserve">+91 70690 51518</t>
  </si>
  <si>
    <t xml:space="preserve">shilpa.contractor_co@hotmail.com</t>
  </si>
  <si>
    <t xml:space="preserve">Town Interiors</t>
  </si>
  <si>
    <t xml:space="preserve">Deepak Singh</t>
  </si>
  <si>
    <t xml:space="preserve">+91 99250 62914</t>
  </si>
  <si>
    <t xml:space="preserve">deepak.singh_co@hotmail.com</t>
  </si>
  <si>
    <t xml:space="preserve">@town_interiors</t>
  </si>
  <si>
    <t xml:space="preserve">Alpesh Gold</t>
  </si>
  <si>
    <t xml:space="preserve">Alpesh Gupta</t>
  </si>
  <si>
    <t xml:space="preserve">+91 96870 35733</t>
  </si>
  <si>
    <t xml:space="preserve">alpesh.gupta_biz@yahoo.com</t>
  </si>
  <si>
    <t xml:space="preserve">Balaji Natural</t>
  </si>
  <si>
    <t xml:space="preserve">Ravi Soni</t>
  </si>
  <si>
    <t xml:space="preserve">+91 97270 96222</t>
  </si>
  <si>
    <t xml:space="preserve">ravi.soni_biz@outlook.com</t>
  </si>
  <si>
    <t xml:space="preserve">Balaji Pharma</t>
  </si>
  <si>
    <t xml:space="preserve">Kiran Kapoor</t>
  </si>
  <si>
    <t xml:space="preserve">+91 70690 73834</t>
  </si>
  <si>
    <t xml:space="preserve">kiran.kapoorofficial@yahoo.com</t>
  </si>
  <si>
    <t xml:space="preserve">@balaji_pharma</t>
  </si>
  <si>
    <t xml:space="preserve">Best Glow</t>
  </si>
  <si>
    <t xml:space="preserve">Lata Contractor</t>
  </si>
  <si>
    <t xml:space="preserve">+91 96870 39240</t>
  </si>
  <si>
    <t xml:space="preserve">lata.contractorofficial@hotmail.com</t>
  </si>
  <si>
    <t xml:space="preserve">@best_glow</t>
  </si>
  <si>
    <t xml:space="preserve">Premium Gadgets</t>
  </si>
  <si>
    <t xml:space="preserve">Mona Bhatt</t>
  </si>
  <si>
    <t xml:space="preserve">+91 91290 82613</t>
  </si>
  <si>
    <t xml:space="preserve">mona.bhattofficial@hotmail.com</t>
  </si>
  <si>
    <t xml:space="preserve">@premium_gadgets</t>
  </si>
  <si>
    <t xml:space="preserve">Smart Jewellers</t>
  </si>
  <si>
    <t xml:space="preserve">Harsha Gupta</t>
  </si>
  <si>
    <t xml:space="preserve">+91 98630 30515</t>
  </si>
  <si>
    <t xml:space="preserve">harsha.gupta_biz@yahoo.com</t>
  </si>
  <si>
    <t xml:space="preserve">Quick Education</t>
  </si>
  <si>
    <t xml:space="preserve">Anita Contractor</t>
  </si>
  <si>
    <t xml:space="preserve">+91 98250 10432</t>
  </si>
  <si>
    <t xml:space="preserve">anita.contractor_co@gmail.com</t>
  </si>
  <si>
    <t xml:space="preserve">@quick_education</t>
  </si>
  <si>
    <t xml:space="preserve">Sai Stores</t>
  </si>
  <si>
    <t xml:space="preserve">Mona Patel</t>
  </si>
  <si>
    <t xml:space="preserve">+91 91290 11798</t>
  </si>
  <si>
    <t xml:space="preserve">mona.patel@rediffmail.com</t>
  </si>
  <si>
    <t xml:space="preserve">@sai_stores</t>
  </si>
  <si>
    <t xml:space="preserve">Prime Healthcare</t>
  </si>
  <si>
    <t xml:space="preserve">Alpesh Shah</t>
  </si>
  <si>
    <t xml:space="preserve">+91 90990 21851</t>
  </si>
  <si>
    <t xml:space="preserve">alpesh.shah@outlook.com</t>
  </si>
  <si>
    <t xml:space="preserve">@prime_healthcare</t>
  </si>
  <si>
    <t xml:space="preserve">Nilesh Garden</t>
  </si>
  <si>
    <t xml:space="preserve">Nilesh Pandya</t>
  </si>
  <si>
    <t xml:space="preserve">+91 70690 15319</t>
  </si>
  <si>
    <t xml:space="preserve">nilesh.pandya_in@yahoo.com</t>
  </si>
  <si>
    <t xml:space="preserve">Quick Shop</t>
  </si>
  <si>
    <t xml:space="preserve">Manish Dave</t>
  </si>
  <si>
    <t xml:space="preserve">+91 98710 22170</t>
  </si>
  <si>
    <t xml:space="preserve">manish.dave2024@yahoo.com</t>
  </si>
  <si>
    <t xml:space="preserve">Smart Press</t>
  </si>
  <si>
    <t xml:space="preserve">Jyoti Chauhan</t>
  </si>
  <si>
    <t xml:space="preserve">+91 98710 40345</t>
  </si>
  <si>
    <t xml:space="preserve">jyoti.chauhan@hotmail.com</t>
  </si>
  <si>
    <t xml:space="preserve">Smart Metals</t>
  </si>
  <si>
    <t xml:space="preserve">Mukesh Gajjar</t>
  </si>
  <si>
    <t xml:space="preserve">+91 96870 77584</t>
  </si>
  <si>
    <t xml:space="preserve">mukesh.gajjar123@outlook.com</t>
  </si>
  <si>
    <t xml:space="preserve">Heritage Kitchen</t>
  </si>
  <si>
    <t xml:space="preserve">Naresh Rana</t>
  </si>
  <si>
    <t xml:space="preserve">+91 99250 47962</t>
  </si>
  <si>
    <t xml:space="preserve">naresh.ranaofficial@hotmail.com</t>
  </si>
  <si>
    <t xml:space="preserve">@heritage_kitchen</t>
  </si>
  <si>
    <t xml:space="preserve">New Sports</t>
  </si>
  <si>
    <t xml:space="preserve">Dhruv Solanki</t>
  </si>
  <si>
    <t xml:space="preserve">+91 87540 65820</t>
  </si>
  <si>
    <t xml:space="preserve">dhruv.solanki_biz@rediffmail.com</t>
  </si>
  <si>
    <t xml:space="preserve">@new_sports</t>
  </si>
  <si>
    <t xml:space="preserve">Sai Suppliers</t>
  </si>
  <si>
    <t xml:space="preserve">Haresh Modi</t>
  </si>
  <si>
    <t xml:space="preserve">+91 98630 69092</t>
  </si>
  <si>
    <t xml:space="preserve">haresh.modiofficial@hotmail.com</t>
  </si>
  <si>
    <t xml:space="preserve">@sai_suppliers</t>
  </si>
  <si>
    <t xml:space="preserve">Heritage Gems</t>
  </si>
  <si>
    <t xml:space="preserve">Anita Gupta</t>
  </si>
  <si>
    <t xml:space="preserve">+91 93270 31027</t>
  </si>
  <si>
    <t xml:space="preserve">anita.gupta_co@rediffmail.com</t>
  </si>
  <si>
    <t xml:space="preserve">Ganesh Drugs</t>
  </si>
  <si>
    <t xml:space="preserve">Parth Trivedi</t>
  </si>
  <si>
    <t xml:space="preserve">+91 90160 12172</t>
  </si>
  <si>
    <t xml:space="preserve">parth.trivediofficial@gmail.com</t>
  </si>
  <si>
    <t xml:space="preserve">@ganesh_drugs</t>
  </si>
  <si>
    <t xml:space="preserve">Top Gadgets</t>
  </si>
  <si>
    <t xml:space="preserve">Nita Choksi</t>
  </si>
  <si>
    <t xml:space="preserve">+91 74050 42258</t>
  </si>
  <si>
    <t xml:space="preserve">nita.choksi99@gmail.com</t>
  </si>
  <si>
    <t xml:space="preserve">@top_gadgets</t>
  </si>
  <si>
    <t xml:space="preserve">Shree Gold</t>
  </si>
  <si>
    <t xml:space="preserve">Rohan Shah</t>
  </si>
  <si>
    <t xml:space="preserve">+91 91290 82911</t>
  </si>
  <si>
    <t xml:space="preserve">rohan.shah2024@outlook.com</t>
  </si>
  <si>
    <t xml:space="preserve">@shree_gold</t>
  </si>
  <si>
    <t xml:space="preserve">Shree Toys</t>
  </si>
  <si>
    <t xml:space="preserve">+91 97270 51778</t>
  </si>
  <si>
    <t xml:space="preserve">shilpa.contractor_in@yahoo.com</t>
  </si>
  <si>
    <t xml:space="preserve">@shree_toys</t>
  </si>
  <si>
    <t xml:space="preserve">Best Organics</t>
  </si>
  <si>
    <t xml:space="preserve">Komal Contractor</t>
  </si>
  <si>
    <t xml:space="preserve">+91 63590 18242</t>
  </si>
  <si>
    <t xml:space="preserve">komal.contractor_biz@hotmail.com</t>
  </si>
  <si>
    <t xml:space="preserve">@best_organics</t>
  </si>
  <si>
    <t xml:space="preserve">Elite Electro</t>
  </si>
  <si>
    <t xml:space="preserve">Lata Raval</t>
  </si>
  <si>
    <t xml:space="preserve">+91 99110 42498</t>
  </si>
  <si>
    <t xml:space="preserve">lata.raval123@rediffmail.com</t>
  </si>
  <si>
    <t xml:space="preserve">@elite_electro</t>
  </si>
  <si>
    <t xml:space="preserve">Apna Ayurveda</t>
  </si>
  <si>
    <t xml:space="preserve">Ramesh Dave</t>
  </si>
  <si>
    <t xml:space="preserve">+91 99090 09439</t>
  </si>
  <si>
    <t xml:space="preserve">ramesh.dave_co@rediffmail.com</t>
  </si>
  <si>
    <t xml:space="preserve">@apna_ayurveda</t>
  </si>
  <si>
    <t xml:space="preserve">Prime Studios</t>
  </si>
  <si>
    <t xml:space="preserve">Naresh Agrawal</t>
  </si>
  <si>
    <t xml:space="preserve">+91 92660 47102</t>
  </si>
  <si>
    <t xml:space="preserve">naresh.agrawalofficial@outlook.com</t>
  </si>
  <si>
    <t xml:space="preserve">@prime_studios</t>
  </si>
  <si>
    <t xml:space="preserve">Laxmi Paper</t>
  </si>
  <si>
    <t xml:space="preserve">Yogesh Rana</t>
  </si>
  <si>
    <t xml:space="preserve">+91 92660 25881</t>
  </si>
  <si>
    <t xml:space="preserve">yogesh.rana_in@yahoo.com</t>
  </si>
  <si>
    <t xml:space="preserve">@laxmi_paper</t>
  </si>
  <si>
    <t xml:space="preserve">Silver Masala</t>
  </si>
  <si>
    <t xml:space="preserve">Rajesh Joshi</t>
  </si>
  <si>
    <t xml:space="preserve">+91 62090 96325</t>
  </si>
  <si>
    <t xml:space="preserve">rajesh.joshi_in@yahoo.com</t>
  </si>
  <si>
    <t xml:space="preserve">@silver_masala</t>
  </si>
  <si>
    <t xml:space="preserve">Royal Printers</t>
  </si>
  <si>
    <t xml:space="preserve">Jay Sharma</t>
  </si>
  <si>
    <t xml:space="preserve">+91 92660 87339</t>
  </si>
  <si>
    <t xml:space="preserve">jay.sharma_in@gmail.com</t>
  </si>
  <si>
    <t xml:space="preserve">Mera Grocery</t>
  </si>
  <si>
    <t xml:space="preserve">Kriti Bhatt</t>
  </si>
  <si>
    <t xml:space="preserve">+91 90990 24565</t>
  </si>
  <si>
    <t xml:space="preserve">kriti.bhatt@outlook.com</t>
  </si>
  <si>
    <t xml:space="preserve">Varsha Press</t>
  </si>
  <si>
    <t xml:space="preserve">Varsha Verma</t>
  </si>
  <si>
    <t xml:space="preserve">+91 91290 84991</t>
  </si>
  <si>
    <t xml:space="preserve">varsha.verma_biz@gmail.com</t>
  </si>
  <si>
    <t xml:space="preserve">@varsha_press</t>
  </si>
  <si>
    <t xml:space="preserve">Jai Pure</t>
  </si>
  <si>
    <t xml:space="preserve">Varsha Contractor</t>
  </si>
  <si>
    <t xml:space="preserve">+91 92660 80002</t>
  </si>
  <si>
    <t xml:space="preserve">varsha.contractor_in@outlook.com</t>
  </si>
  <si>
    <t xml:space="preserve">@jai_pure</t>
  </si>
  <si>
    <t xml:space="preserve">Premium Drugs</t>
  </si>
  <si>
    <t xml:space="preserve">Anita Rana</t>
  </si>
  <si>
    <t xml:space="preserve">+91 91780 49588</t>
  </si>
  <si>
    <t xml:space="preserve">anita.ranaofficial@rediffmail.com</t>
  </si>
  <si>
    <t xml:space="preserve">Shree Namkeen</t>
  </si>
  <si>
    <t xml:space="preserve">Asha Soni</t>
  </si>
  <si>
    <t xml:space="preserve">+91 70690 09749</t>
  </si>
  <si>
    <t xml:space="preserve">asha.soni99@gmail.com</t>
  </si>
  <si>
    <t xml:space="preserve">@shree_namkeen</t>
  </si>
  <si>
    <t xml:space="preserve">New Living</t>
  </si>
  <si>
    <t xml:space="preserve">Manju Joshi</t>
  </si>
  <si>
    <t xml:space="preserve">+91 88260 13075</t>
  </si>
  <si>
    <t xml:space="preserve">manju.joshi_co@yahoo.com</t>
  </si>
  <si>
    <t xml:space="preserve">@new_living</t>
  </si>
  <si>
    <t xml:space="preserve">Super Pharma</t>
  </si>
  <si>
    <t xml:space="preserve">Tanvi Contractor</t>
  </si>
  <si>
    <t xml:space="preserve">+91 89900 02838</t>
  </si>
  <si>
    <t xml:space="preserve">tanvi.contractor_in@outlook.com</t>
  </si>
  <si>
    <t xml:space="preserve">@super_pharma</t>
  </si>
  <si>
    <t xml:space="preserve">Top Bazaar</t>
  </si>
  <si>
    <t xml:space="preserve">Sneha Chauhan</t>
  </si>
  <si>
    <t xml:space="preserve">+91 87540 49733</t>
  </si>
  <si>
    <t xml:space="preserve">sneha.chauhan2024@rediffmail.com</t>
  </si>
  <si>
    <t xml:space="preserve">Heritage Learning</t>
  </si>
  <si>
    <t xml:space="preserve">Vijay Choksi</t>
  </si>
  <si>
    <t xml:space="preserve">+91 98630 84419</t>
  </si>
  <si>
    <t xml:space="preserve">vijay.choksi_co@outlook.com</t>
  </si>
  <si>
    <t xml:space="preserve">@heritage_learning</t>
  </si>
  <si>
    <t xml:space="preserve">Urban Learning</t>
  </si>
  <si>
    <t xml:space="preserve">Pooja Bhatt</t>
  </si>
  <si>
    <t xml:space="preserve">+91 98980 47338</t>
  </si>
  <si>
    <t xml:space="preserve">pooja.bhatt2024@rediffmail.com</t>
  </si>
  <si>
    <t xml:space="preserve">@urban_learning</t>
  </si>
  <si>
    <t xml:space="preserve">City Collections</t>
  </si>
  <si>
    <t xml:space="preserve">Kiran Parmar</t>
  </si>
  <si>
    <t xml:space="preserve">+91 91060 30165</t>
  </si>
  <si>
    <t xml:space="preserve">kiran.parmarofficial@gmail.com</t>
  </si>
  <si>
    <t xml:space="preserve">@city_collections</t>
  </si>
  <si>
    <t xml:space="preserve">City Gym</t>
  </si>
  <si>
    <t xml:space="preserve">Nitin Nair</t>
  </si>
  <si>
    <t xml:space="preserve">+91 98710 34540</t>
  </si>
  <si>
    <t xml:space="preserve">nitin.nair123@rediffmail.com</t>
  </si>
  <si>
    <t xml:space="preserve">Town Footwear</t>
  </si>
  <si>
    <t xml:space="preserve">+91 63590 67240</t>
  </si>
  <si>
    <t xml:space="preserve">tushar.thakkar@hotmail.com</t>
  </si>
  <si>
    <t xml:space="preserve">@town_footwear</t>
  </si>
  <si>
    <t xml:space="preserve">Best Gym</t>
  </si>
  <si>
    <t xml:space="preserve">Lata Kapoor</t>
  </si>
  <si>
    <t xml:space="preserve">+91 74050 28743</t>
  </si>
  <si>
    <t xml:space="preserve">lata.kapoor123@hotmail.com</t>
  </si>
  <si>
    <t xml:space="preserve">Laxmi Chappals</t>
  </si>
  <si>
    <t xml:space="preserve">Seema Choksi</t>
  </si>
  <si>
    <t xml:space="preserve">+91 70690 49329</t>
  </si>
  <si>
    <t xml:space="preserve">seema.choksi_co@outlook.com</t>
  </si>
  <si>
    <t xml:space="preserve">@laxmi_chappals</t>
  </si>
  <si>
    <t xml:space="preserve">Heritage Health</t>
  </si>
  <si>
    <t xml:space="preserve">Akash Desai</t>
  </si>
  <si>
    <t xml:space="preserve">+91 98250 46374</t>
  </si>
  <si>
    <t xml:space="preserve">akash.desai_in@hotmail.com</t>
  </si>
  <si>
    <t xml:space="preserve">@heritage_health</t>
  </si>
  <si>
    <t xml:space="preserve">Om Hardware</t>
  </si>
  <si>
    <t xml:space="preserve">Varsha Choksi</t>
  </si>
  <si>
    <t xml:space="preserve">+91 91290 42684</t>
  </si>
  <si>
    <t xml:space="preserve">varsha.choksi123@hotmail.com</t>
  </si>
  <si>
    <t xml:space="preserve">@om_hardware</t>
  </si>
  <si>
    <t xml:space="preserve">Laxmi Pure</t>
  </si>
  <si>
    <t xml:space="preserve">Anita Sharma</t>
  </si>
  <si>
    <t xml:space="preserve">+91 98630 68783</t>
  </si>
  <si>
    <t xml:space="preserve">anita.sharma99@rediffmail.com</t>
  </si>
  <si>
    <t xml:space="preserve">@laxmi_pure</t>
  </si>
  <si>
    <t xml:space="preserve">Modern Education</t>
  </si>
  <si>
    <t xml:space="preserve">Parth Gupta</t>
  </si>
  <si>
    <t xml:space="preserve">+91 94260 08839</t>
  </si>
  <si>
    <t xml:space="preserve">parth.gupta_biz@yahoo.com</t>
  </si>
  <si>
    <t xml:space="preserve">@modern_education</t>
  </si>
  <si>
    <t xml:space="preserve">Shree Handmade</t>
  </si>
  <si>
    <t xml:space="preserve">Vivek Soni</t>
  </si>
  <si>
    <t xml:space="preserve">+91 99090 87072</t>
  </si>
  <si>
    <t xml:space="preserve">vivek.soni_co@outlook.com</t>
  </si>
  <si>
    <t xml:space="preserve">@shree_handmade</t>
  </si>
  <si>
    <t xml:space="preserve">Golden Trends</t>
  </si>
  <si>
    <t xml:space="preserve">Hitesh Gajjar</t>
  </si>
  <si>
    <t xml:space="preserve">+91 98250 39106</t>
  </si>
  <si>
    <t xml:space="preserve">hitesh.gajjar_in@gmail.com</t>
  </si>
  <si>
    <t xml:space="preserve">@golden_trends</t>
  </si>
  <si>
    <t xml:space="preserve">Premium Printing</t>
  </si>
  <si>
    <t xml:space="preserve">Kriti Patel</t>
  </si>
  <si>
    <t xml:space="preserve">+91 77980 65676</t>
  </si>
  <si>
    <t xml:space="preserve">kriti.patel_co@gmail.com</t>
  </si>
  <si>
    <t xml:space="preserve">@premium_printing</t>
  </si>
  <si>
    <t xml:space="preserve">Smart Walk</t>
  </si>
  <si>
    <t xml:space="preserve">Nita Mehta</t>
  </si>
  <si>
    <t xml:space="preserve">+91 97270 30047</t>
  </si>
  <si>
    <t xml:space="preserve">nita.mehta_co@rediffmail.com</t>
  </si>
  <si>
    <t xml:space="preserve">@smart_walk</t>
  </si>
  <si>
    <t xml:space="preserve">Elite Green</t>
  </si>
  <si>
    <t xml:space="preserve">Sneha Pandya</t>
  </si>
  <si>
    <t xml:space="preserve">+91 77980 10690</t>
  </si>
  <si>
    <t xml:space="preserve">sneha.pandya99@yahoo.com</t>
  </si>
  <si>
    <t xml:space="preserve">Smart Spare Parts</t>
  </si>
  <si>
    <t xml:space="preserve">Suresh Parmar</t>
  </si>
  <si>
    <t xml:space="preserve">+91 91060 83028</t>
  </si>
  <si>
    <t xml:space="preserve">suresh.parmar2024@yahoo.com</t>
  </si>
  <si>
    <t xml:space="preserve">@smart_spare_parts</t>
  </si>
  <si>
    <t xml:space="preserve">Classic Studios</t>
  </si>
  <si>
    <t xml:space="preserve">Paresh Parmar</t>
  </si>
  <si>
    <t xml:space="preserve">+91 93050 36440</t>
  </si>
  <si>
    <t xml:space="preserve">paresh.parmar_biz@outlook.com</t>
  </si>
  <si>
    <t xml:space="preserve">@classic_studios</t>
  </si>
  <si>
    <t xml:space="preserve">Ganesh Digital</t>
  </si>
  <si>
    <t xml:space="preserve">Manju Vyas</t>
  </si>
  <si>
    <t xml:space="preserve">+91 90990 24628</t>
  </si>
  <si>
    <t xml:space="preserve">manju.vyasofficial@yahoo.com</t>
  </si>
  <si>
    <t xml:space="preserve">@ganesh_digital</t>
  </si>
  <si>
    <t xml:space="preserve">New Alloys</t>
  </si>
  <si>
    <t xml:space="preserve">Yogesh Vyas</t>
  </si>
  <si>
    <t xml:space="preserve">+91 90990 68826</t>
  </si>
  <si>
    <t xml:space="preserve">yogesh.vyas99@hotmail.com</t>
  </si>
  <si>
    <t xml:space="preserve">Apna Mart</t>
  </si>
  <si>
    <t xml:space="preserve">Bharat Modi</t>
  </si>
  <si>
    <t xml:space="preserve">+91 98790 46990</t>
  </si>
  <si>
    <t xml:space="preserve">bharat.modi123@yahoo.com</t>
  </si>
  <si>
    <t xml:space="preserve">@apna_mart</t>
  </si>
  <si>
    <t xml:space="preserve">Town Dairy</t>
  </si>
  <si>
    <t xml:space="preserve">Dev Trivedi</t>
  </si>
  <si>
    <t xml:space="preserve">+91 90160 31739</t>
  </si>
  <si>
    <t xml:space="preserve">dev.trivedi99@outlook.com</t>
  </si>
  <si>
    <t xml:space="preserve">@town_dairy</t>
  </si>
  <si>
    <t xml:space="preserve">Sai Metals</t>
  </si>
  <si>
    <t xml:space="preserve">Lata Iyer</t>
  </si>
  <si>
    <t xml:space="preserve">+91 99250 45877</t>
  </si>
  <si>
    <t xml:space="preserve">lata.iyer123@outlook.com</t>
  </si>
  <si>
    <t xml:space="preserve">@sai_metals</t>
  </si>
  <si>
    <t xml:space="preserve">Shree Baby</t>
  </si>
  <si>
    <t xml:space="preserve">Bharat Rana</t>
  </si>
  <si>
    <t xml:space="preserve">+91 89900 20489</t>
  </si>
  <si>
    <t xml:space="preserve">bharat.rana_co@hotmail.com</t>
  </si>
  <si>
    <t xml:space="preserve">Top Agency</t>
  </si>
  <si>
    <t xml:space="preserve">Manju Singh</t>
  </si>
  <si>
    <t xml:space="preserve">+91 87540 54777</t>
  </si>
  <si>
    <t xml:space="preserve">manju.singh_biz@hotmail.com</t>
  </si>
  <si>
    <t xml:space="preserve">New Supermart</t>
  </si>
  <si>
    <t xml:space="preserve">Komal Chauhan</t>
  </si>
  <si>
    <t xml:space="preserve">+91 98790 10062</t>
  </si>
  <si>
    <t xml:space="preserve">komal.chauhan99@gmail.com</t>
  </si>
  <si>
    <t xml:space="preserve">@new_supermart</t>
  </si>
  <si>
    <t xml:space="preserve">Jai Gems</t>
  </si>
  <si>
    <t xml:space="preserve">Tanvi Kapoor</t>
  </si>
  <si>
    <t xml:space="preserve">+91 87540 97700</t>
  </si>
  <si>
    <t xml:space="preserve">tanvi.kapoor_co@gmail.com</t>
  </si>
  <si>
    <t xml:space="preserve">Ganesh Hub</t>
  </si>
  <si>
    <t xml:space="preserve">Lata Shah</t>
  </si>
  <si>
    <t xml:space="preserve">+91 90990 21182</t>
  </si>
  <si>
    <t xml:space="preserve">lata.shah99@yahoo.com</t>
  </si>
  <si>
    <t xml:space="preserve">@ganesh_hub</t>
  </si>
  <si>
    <t xml:space="preserve">Urban Glow</t>
  </si>
  <si>
    <t xml:space="preserve">Geeta Vyas</t>
  </si>
  <si>
    <t xml:space="preserve">+91 91290 93341</t>
  </si>
  <si>
    <t xml:space="preserve">geeta.vyas@gmail.com</t>
  </si>
  <si>
    <t xml:space="preserve">@urban_glow</t>
  </si>
  <si>
    <t xml:space="preserve">Ganesh Fitness</t>
  </si>
  <si>
    <t xml:space="preserve">+91 99090 76591</t>
  </si>
  <si>
    <t xml:space="preserve">kriti.patel@yahoo.com</t>
  </si>
  <si>
    <t xml:space="preserve">Town Gadgets</t>
  </si>
  <si>
    <t xml:space="preserve">Pooja Chauhan</t>
  </si>
  <si>
    <t xml:space="preserve">+91 74050 89025</t>
  </si>
  <si>
    <t xml:space="preserve">pooja.chauhan@yahoo.com</t>
  </si>
  <si>
    <t xml:space="preserve">@town_gadgets</t>
  </si>
  <si>
    <t xml:space="preserve">Shree Natural</t>
  </si>
  <si>
    <t xml:space="preserve">Usha Desai</t>
  </si>
  <si>
    <t xml:space="preserve">+91 87540 85621</t>
  </si>
  <si>
    <t xml:space="preserve">usha.desai_in@gmail.com</t>
  </si>
  <si>
    <t xml:space="preserve">Jai Paws</t>
  </si>
  <si>
    <t xml:space="preserve">Ramesh Kumar</t>
  </si>
  <si>
    <t xml:space="preserve">+91 77980 50477</t>
  </si>
  <si>
    <t xml:space="preserve">ramesh.kumar99@hotmail.com</t>
  </si>
  <si>
    <t xml:space="preserve">@jai_paws</t>
  </si>
  <si>
    <t xml:space="preserve">Smart Ayurveda</t>
  </si>
  <si>
    <t xml:space="preserve">Komal Soni</t>
  </si>
  <si>
    <t xml:space="preserve">+91 77980 94311</t>
  </si>
  <si>
    <t xml:space="preserve">komal.soni2024@yahoo.com</t>
  </si>
  <si>
    <t xml:space="preserve">@smart_ayurveda</t>
  </si>
  <si>
    <t xml:space="preserve">Modern Jewellers</t>
  </si>
  <si>
    <t xml:space="preserve">Nilesh Rana</t>
  </si>
  <si>
    <t xml:space="preserve">+91 99250 75412</t>
  </si>
  <si>
    <t xml:space="preserve">nilesh.rana123@yahoo.com</t>
  </si>
  <si>
    <t xml:space="preserve">@modern_jewellers</t>
  </si>
  <si>
    <t xml:space="preserve">Urban Clothings</t>
  </si>
  <si>
    <t xml:space="preserve">Shilpa Mehta</t>
  </si>
  <si>
    <t xml:space="preserve">+91 99090 99560</t>
  </si>
  <si>
    <t xml:space="preserve">shilpa.mehta2024@outlook.com</t>
  </si>
  <si>
    <t xml:space="preserve">@urban_clothings</t>
  </si>
  <si>
    <t xml:space="preserve">Om Digital</t>
  </si>
  <si>
    <t xml:space="preserve">Rajesh Singh</t>
  </si>
  <si>
    <t xml:space="preserve">+91 96870 24447</t>
  </si>
  <si>
    <t xml:space="preserve">rajesh.singh_biz@gmail.com</t>
  </si>
  <si>
    <t xml:space="preserve">Golden Mobiles</t>
  </si>
  <si>
    <t xml:space="preserve">Usha Sharma</t>
  </si>
  <si>
    <t xml:space="preserve">+91 89900 79937</t>
  </si>
  <si>
    <t xml:space="preserve">usha.sharma123@yahoo.com</t>
  </si>
  <si>
    <t xml:space="preserve">@golden_mobiles</t>
  </si>
  <si>
    <t xml:space="preserve">Heritage Farm</t>
  </si>
  <si>
    <t xml:space="preserve">+91 63590 92459</t>
  </si>
  <si>
    <t xml:space="preserve">manju.vyas99@outlook.com</t>
  </si>
  <si>
    <t xml:space="preserve">@heritage_farm</t>
  </si>
  <si>
    <t xml:space="preserve">Super Education</t>
  </si>
  <si>
    <t xml:space="preserve">Naresh Gajjar</t>
  </si>
  <si>
    <t xml:space="preserve">+91 70690 35646</t>
  </si>
  <si>
    <t xml:space="preserve">naresh.gajjar_in@gmail.com</t>
  </si>
  <si>
    <t xml:space="preserve">@super_education</t>
  </si>
  <si>
    <t xml:space="preserve">Royal Shop</t>
  </si>
  <si>
    <t xml:space="preserve">+91 91290 37416</t>
  </si>
  <si>
    <t xml:space="preserve">komal.soniofficial@yahoo.com</t>
  </si>
  <si>
    <t xml:space="preserve">@royal_shop</t>
  </si>
  <si>
    <t xml:space="preserve">Smart Toys</t>
  </si>
  <si>
    <t xml:space="preserve">Hetal Choksi</t>
  </si>
  <si>
    <t xml:space="preserve">+91 91290 97968</t>
  </si>
  <si>
    <t xml:space="preserve">hetal.choksi_co@rediffmail.com</t>
  </si>
  <si>
    <t xml:space="preserve">Om Shop</t>
  </si>
  <si>
    <t xml:space="preserve">Deepak Mehta</t>
  </si>
  <si>
    <t xml:space="preserve">+91 98630 29096</t>
  </si>
  <si>
    <t xml:space="preserve">deepak.mehta_in@outlook.com</t>
  </si>
  <si>
    <t xml:space="preserve">Top Automobiles</t>
  </si>
  <si>
    <t xml:space="preserve">Ashok Gupta</t>
  </si>
  <si>
    <t xml:space="preserve">+91 88260 93756</t>
  </si>
  <si>
    <t xml:space="preserve">ashok.guptaofficial@rediffmail.com</t>
  </si>
  <si>
    <t xml:space="preserve">@top_automobiles</t>
  </si>
  <si>
    <t xml:space="preserve">Fresh Foods</t>
  </si>
  <si>
    <t xml:space="preserve">Neha Sharma</t>
  </si>
  <si>
    <t xml:space="preserve">+91 94260 25457</t>
  </si>
  <si>
    <t xml:space="preserve">neha.sharma99@rediffmail.com</t>
  </si>
  <si>
    <t xml:space="preserve">@fresh_foods</t>
  </si>
  <si>
    <t xml:space="preserve">Heritage Books</t>
  </si>
  <si>
    <t xml:space="preserve">Ritu Gajjar</t>
  </si>
  <si>
    <t xml:space="preserve">+91 99250 01051</t>
  </si>
  <si>
    <t xml:space="preserve">ritu.gajjar_biz@yahoo.com</t>
  </si>
  <si>
    <t xml:space="preserve">@heritage_books</t>
  </si>
  <si>
    <t xml:space="preserve">Prime Play</t>
  </si>
  <si>
    <t xml:space="preserve">Asha Verma</t>
  </si>
  <si>
    <t xml:space="preserve">+91 98980 22660</t>
  </si>
  <si>
    <t xml:space="preserve">asha.verma99@outlook.com</t>
  </si>
  <si>
    <t xml:space="preserve">@prime_play</t>
  </si>
  <si>
    <t xml:space="preserve">Ganesh Nursery</t>
  </si>
  <si>
    <t xml:space="preserve">Meera Trivedi</t>
  </si>
  <si>
    <t xml:space="preserve">+91 96560 18255</t>
  </si>
  <si>
    <t xml:space="preserve">meera.trivedi99@outlook.com</t>
  </si>
  <si>
    <t xml:space="preserve">Smart Salon</t>
  </si>
  <si>
    <t xml:space="preserve">Jyoti Kumar</t>
  </si>
  <si>
    <t xml:space="preserve">+91 94260 55792</t>
  </si>
  <si>
    <t xml:space="preserve">jyoti.kumar2024@rediffmail.com</t>
  </si>
  <si>
    <t xml:space="preserve">@smart_salon</t>
  </si>
  <si>
    <t xml:space="preserve">Premium Graphics</t>
  </si>
  <si>
    <t xml:space="preserve">Mona Parmar</t>
  </si>
  <si>
    <t xml:space="preserve">+91 88260 28669</t>
  </si>
  <si>
    <t xml:space="preserve">mona.parmar_biz@rediffmail.com</t>
  </si>
  <si>
    <t xml:space="preserve">@premium_graphics</t>
  </si>
  <si>
    <t xml:space="preserve">Silver Shoes</t>
  </si>
  <si>
    <t xml:space="preserve">Manish Verma</t>
  </si>
  <si>
    <t xml:space="preserve">+91 96870 57905</t>
  </si>
  <si>
    <t xml:space="preserve">manish.verma@outlook.com</t>
  </si>
  <si>
    <t xml:space="preserve">Om Confectionery</t>
  </si>
  <si>
    <t xml:space="preserve">Tanvi Agrawal</t>
  </si>
  <si>
    <t xml:space="preserve">+91 90990 77219</t>
  </si>
  <si>
    <t xml:space="preserve">tanvi.agrawal@yahoo.com</t>
  </si>
  <si>
    <t xml:space="preserve">Shree Shop</t>
  </si>
  <si>
    <t xml:space="preserve">Lata Desai</t>
  </si>
  <si>
    <t xml:space="preserve">+91 77980 78819</t>
  </si>
  <si>
    <t xml:space="preserve">lata.desai123@hotmail.com</t>
  </si>
  <si>
    <t xml:space="preserve">@shree_shop</t>
  </si>
  <si>
    <t xml:space="preserve">Top Motors</t>
  </si>
  <si>
    <t xml:space="preserve">Pooja Contractor</t>
  </si>
  <si>
    <t xml:space="preserve">+91 90990 13407</t>
  </si>
  <si>
    <t xml:space="preserve">pooja.contractor2024@hotmail.com</t>
  </si>
  <si>
    <t xml:space="preserve">@top_motors</t>
  </si>
  <si>
    <t xml:space="preserve">Swadeshi Agency</t>
  </si>
  <si>
    <t xml:space="preserve">Mona Contractor</t>
  </si>
  <si>
    <t xml:space="preserve">+91 96560 59629</t>
  </si>
  <si>
    <t xml:space="preserve">mona.contractor_biz@yahoo.com</t>
  </si>
  <si>
    <t xml:space="preserve">@swadeshi_agency</t>
  </si>
  <si>
    <t xml:space="preserve">Top Plants</t>
  </si>
  <si>
    <t xml:space="preserve">Nita Verma</t>
  </si>
  <si>
    <t xml:space="preserve">+91 94660 44948</t>
  </si>
  <si>
    <t xml:space="preserve">nita.verma123@yahoo.com</t>
  </si>
  <si>
    <t xml:space="preserve">@top_plants</t>
  </si>
  <si>
    <t xml:space="preserve">Dinesh Fitness</t>
  </si>
  <si>
    <t xml:space="preserve">Dinesh Raval</t>
  </si>
  <si>
    <t xml:space="preserve">+91 91060 25367</t>
  </si>
  <si>
    <t xml:space="preserve">dinesh.raval_biz@rediffmail.com</t>
  </si>
  <si>
    <t xml:space="preserve">@dinesh_fitness</t>
  </si>
  <si>
    <t xml:space="preserve">City Sports</t>
  </si>
  <si>
    <t xml:space="preserve">Parth Modi</t>
  </si>
  <si>
    <t xml:space="preserve">+91 92660 84577</t>
  </si>
  <si>
    <t xml:space="preserve">parth.modi_in@rediffmail.com</t>
  </si>
  <si>
    <t xml:space="preserve">Urban Furniture</t>
  </si>
  <si>
    <t xml:space="preserve">+91 70690 86363</t>
  </si>
  <si>
    <t xml:space="preserve">sneha.agrawalofficial@hotmail.com</t>
  </si>
  <si>
    <t xml:space="preserve">@urban_furniture</t>
  </si>
  <si>
    <t xml:space="preserve">Heritage House</t>
  </si>
  <si>
    <t xml:space="preserve">Haresh Singh</t>
  </si>
  <si>
    <t xml:space="preserve">+91 77980 00170</t>
  </si>
  <si>
    <t xml:space="preserve">haresh.singh123@yahoo.com</t>
  </si>
  <si>
    <t xml:space="preserve">@heritage_house</t>
  </si>
  <si>
    <t xml:space="preserve">Rekha Natural</t>
  </si>
  <si>
    <t xml:space="preserve">Rekha Choksi</t>
  </si>
  <si>
    <t xml:space="preserve">+91 96870 41541</t>
  </si>
  <si>
    <t xml:space="preserve">rekha.choksi_in@yahoo.com</t>
  </si>
  <si>
    <t xml:space="preserve">Ganesh Sports</t>
  </si>
  <si>
    <t xml:space="preserve">Sunita Nair</t>
  </si>
  <si>
    <t xml:space="preserve">+91 98250 37129</t>
  </si>
  <si>
    <t xml:space="preserve">sunita.nair99@rediffmail.com</t>
  </si>
  <si>
    <t xml:space="preserve">@ganesh_sports</t>
  </si>
  <si>
    <t xml:space="preserve">Fresh Kitchen</t>
  </si>
  <si>
    <t xml:space="preserve">+91 97270 71361</t>
  </si>
  <si>
    <t xml:space="preserve">ramesh.dave123@gmail.com</t>
  </si>
  <si>
    <t xml:space="preserve">@fresh_kitchen</t>
  </si>
  <si>
    <t xml:space="preserve">Classic Shop</t>
  </si>
  <si>
    <t xml:space="preserve">Manju Contractor</t>
  </si>
  <si>
    <t xml:space="preserve">+91 87540 21890</t>
  </si>
  <si>
    <t xml:space="preserve">manju.contractor_biz@outlook.com</t>
  </si>
  <si>
    <t xml:space="preserve">@classic_shop</t>
  </si>
  <si>
    <t xml:space="preserve">Om Play</t>
  </si>
  <si>
    <t xml:space="preserve">Hetal Chauhan</t>
  </si>
  <si>
    <t xml:space="preserve">+91 62090 31121</t>
  </si>
  <si>
    <t xml:space="preserve">hetal.chauhan_co@hotmail.com</t>
  </si>
  <si>
    <t xml:space="preserve">@om_play</t>
  </si>
  <si>
    <t xml:space="preserve">Rajesh Play</t>
  </si>
  <si>
    <t xml:space="preserve">+91 91780 99404</t>
  </si>
  <si>
    <t xml:space="preserve">rajesh.solanki99@rediffmail.com</t>
  </si>
  <si>
    <t xml:space="preserve">@rajesh_play</t>
  </si>
  <si>
    <t xml:space="preserve">Swadeshi Fitness</t>
  </si>
  <si>
    <t xml:space="preserve">Harsha Bhatt</t>
  </si>
  <si>
    <t xml:space="preserve">+91 98710 61379</t>
  </si>
  <si>
    <t xml:space="preserve">harsha.bhatt123@rediffmail.com</t>
  </si>
  <si>
    <t xml:space="preserve">@swadeshi_fitness</t>
  </si>
  <si>
    <t xml:space="preserve">Apna Salon</t>
  </si>
  <si>
    <t xml:space="preserve">Jyoti Joshi</t>
  </si>
  <si>
    <t xml:space="preserve">+91 90990 58271</t>
  </si>
  <si>
    <t xml:space="preserve">jyoti.joshi@rediffmail.com</t>
  </si>
  <si>
    <t xml:space="preserve">Smart Collections</t>
  </si>
  <si>
    <t xml:space="preserve">+91 99250 86661</t>
  </si>
  <si>
    <t xml:space="preserve">pooja.chauhan_biz@hotmail.com</t>
  </si>
  <si>
    <t xml:space="preserve">Heritage Wellness</t>
  </si>
  <si>
    <t xml:space="preserve">Vijay Vyas</t>
  </si>
  <si>
    <t xml:space="preserve">+91 96560 14630</t>
  </si>
  <si>
    <t xml:space="preserve">vijay.vyas99@gmail.com</t>
  </si>
  <si>
    <t xml:space="preserve">@heritage_wellness</t>
  </si>
  <si>
    <t xml:space="preserve">Om Crafts</t>
  </si>
  <si>
    <t xml:space="preserve">Kavya Bhatt</t>
  </si>
  <si>
    <t xml:space="preserve">+91 96870 10202</t>
  </si>
  <si>
    <t xml:space="preserve">kavya.bhattofficial@hotmail.com</t>
  </si>
  <si>
    <t xml:space="preserve">@om_crafts</t>
  </si>
  <si>
    <t xml:space="preserve">Mera Parts</t>
  </si>
  <si>
    <t xml:space="preserve">Bharat Joshi</t>
  </si>
  <si>
    <t xml:space="preserve">+91 89900 10564</t>
  </si>
  <si>
    <t xml:space="preserve">bharat.joshi123@hotmail.com</t>
  </si>
  <si>
    <t xml:space="preserve">@mera_parts</t>
  </si>
  <si>
    <t xml:space="preserve">Super Jewellery</t>
  </si>
  <si>
    <t xml:space="preserve">+91 96870 52419</t>
  </si>
  <si>
    <t xml:space="preserve">sneha.gupta123@yahoo.com</t>
  </si>
  <si>
    <t xml:space="preserve">@super_jewellery</t>
  </si>
  <si>
    <t xml:space="preserve">Urban Saree House</t>
  </si>
  <si>
    <t xml:space="preserve">Priya Parmar</t>
  </si>
  <si>
    <t xml:space="preserve">+91 75690 22086</t>
  </si>
  <si>
    <t xml:space="preserve">priya.parmar99@hotmail.com</t>
  </si>
  <si>
    <t xml:space="preserve">Bhavna Gems</t>
  </si>
  <si>
    <t xml:space="preserve">Bhavna Singh</t>
  </si>
  <si>
    <t xml:space="preserve">+91 74050 02380</t>
  </si>
  <si>
    <t xml:space="preserve">bhavna.singh_co@gmail.com</t>
  </si>
  <si>
    <t xml:space="preserve">@bhavna_gems</t>
  </si>
  <si>
    <t xml:space="preserve">Royal Bazaar</t>
  </si>
  <si>
    <t xml:space="preserve">Paresh Modi</t>
  </si>
  <si>
    <t xml:space="preserve">+91 90160 49493</t>
  </si>
  <si>
    <t xml:space="preserve">paresh.modiofficial@hotmail.com</t>
  </si>
  <si>
    <t xml:space="preserve">@royal_bazaar</t>
  </si>
  <si>
    <t xml:space="preserve">Fresh Fashion</t>
  </si>
  <si>
    <t xml:space="preserve">+91 91060 85050</t>
  </si>
  <si>
    <t xml:space="preserve">rajesh.joshi_co@hotmail.com</t>
  </si>
  <si>
    <t xml:space="preserve">Ganesh Silk House</t>
  </si>
  <si>
    <t xml:space="preserve">Tushar Sharma</t>
  </si>
  <si>
    <t xml:space="preserve">+91 99090 03865</t>
  </si>
  <si>
    <t xml:space="preserve">tushar.sharmaofficial@gmail.com</t>
  </si>
  <si>
    <t xml:space="preserve">@ganesh_silk_house</t>
  </si>
  <si>
    <t xml:space="preserve">New Natural</t>
  </si>
  <si>
    <t xml:space="preserve">Harsha Modi</t>
  </si>
  <si>
    <t xml:space="preserve">+91 87540 23445</t>
  </si>
  <si>
    <t xml:space="preserve">harsha.modi_co@hotmail.com</t>
  </si>
  <si>
    <t xml:space="preserve">@new_natural</t>
  </si>
  <si>
    <t xml:space="preserve">Balaji Pure</t>
  </si>
  <si>
    <t xml:space="preserve">Bhavna Trivedi</t>
  </si>
  <si>
    <t xml:space="preserve">+91 94260 21277</t>
  </si>
  <si>
    <t xml:space="preserve">bhavna.trivedi_in@outlook.com</t>
  </si>
  <si>
    <t xml:space="preserve">Mera Steel</t>
  </si>
  <si>
    <t xml:space="preserve">Parth Bhatt</t>
  </si>
  <si>
    <t xml:space="preserve">+91 99090 24903</t>
  </si>
  <si>
    <t xml:space="preserve">parth.bhatt_in@yahoo.com</t>
  </si>
  <si>
    <t xml:space="preserve">Silver Silk House</t>
  </si>
  <si>
    <t xml:space="preserve">+91 63590 20678</t>
  </si>
  <si>
    <t xml:space="preserve">harsha.gupta99@gmail.com</t>
  </si>
  <si>
    <t xml:space="preserve">@silver_silk_house</t>
  </si>
  <si>
    <t xml:space="preserve">Classic Animal Care</t>
  </si>
  <si>
    <t xml:space="preserve">Priya Patel</t>
  </si>
  <si>
    <t xml:space="preserve">+91 63590 65199</t>
  </si>
  <si>
    <t xml:space="preserve">priya.patel2024@gmail.com</t>
  </si>
  <si>
    <t xml:space="preserve">City Natural</t>
  </si>
  <si>
    <t xml:space="preserve">Ritu Vyas</t>
  </si>
  <si>
    <t xml:space="preserve">+91 94260 07029</t>
  </si>
  <si>
    <t xml:space="preserve">ritu.vyas_co@outlook.com</t>
  </si>
  <si>
    <t xml:space="preserve">@city_natural</t>
  </si>
  <si>
    <t xml:space="preserve">Town Jewels</t>
  </si>
  <si>
    <t xml:space="preserve">Alpesh Desai</t>
  </si>
  <si>
    <t xml:space="preserve">+91 93270 47209</t>
  </si>
  <si>
    <t xml:space="preserve">alpesh.desai99@hotmail.com</t>
  </si>
  <si>
    <t xml:space="preserve">@town_jewels</t>
  </si>
  <si>
    <t xml:space="preserve">Classic Green</t>
  </si>
  <si>
    <t xml:space="preserve">Kavya Modi</t>
  </si>
  <si>
    <t xml:space="preserve">+91 90160 83806</t>
  </si>
  <si>
    <t xml:space="preserve">kavya.modi_in@outlook.com</t>
  </si>
  <si>
    <t xml:space="preserve">@classic_green</t>
  </si>
  <si>
    <t xml:space="preserve">Premium Beauty</t>
  </si>
  <si>
    <t xml:space="preserve">Tanvi Rana</t>
  </si>
  <si>
    <t xml:space="preserve">+91 94660 93040</t>
  </si>
  <si>
    <t xml:space="preserve">tanvi.ranaofficial@rediffmail.com</t>
  </si>
  <si>
    <t xml:space="preserve">@premium_beauty</t>
  </si>
  <si>
    <t xml:space="preserve">Golden Living</t>
  </si>
  <si>
    <t xml:space="preserve">Akash Parmar</t>
  </si>
  <si>
    <t xml:space="preserve">+91 63590 03965</t>
  </si>
  <si>
    <t xml:space="preserve">akash.parmar_biz@yahoo.com</t>
  </si>
  <si>
    <t xml:space="preserve">Ganesh Health</t>
  </si>
  <si>
    <t xml:space="preserve">Kamlesh Chauhan</t>
  </si>
  <si>
    <t xml:space="preserve">+91 98630 99293</t>
  </si>
  <si>
    <t xml:space="preserve">kamlesh.chauhanofficial@rediffmail.com</t>
  </si>
  <si>
    <t xml:space="preserve">@ganesh_health</t>
  </si>
  <si>
    <t xml:space="preserve">Prime Hardware</t>
  </si>
  <si>
    <t xml:space="preserve">Nisha Patel</t>
  </si>
  <si>
    <t xml:space="preserve">+91 93050 70593</t>
  </si>
  <si>
    <t xml:space="preserve">nisha.patel_biz@hotmail.com</t>
  </si>
  <si>
    <t xml:space="preserve">@prime_hardware</t>
  </si>
  <si>
    <t xml:space="preserve">Town Herbal</t>
  </si>
  <si>
    <t xml:space="preserve">Amit Joshi</t>
  </si>
  <si>
    <t xml:space="preserve">+91 77980 18515</t>
  </si>
  <si>
    <t xml:space="preserve">amit.joshi_co@rediffmail.com</t>
  </si>
  <si>
    <t xml:space="preserve">Swadeshi Garage</t>
  </si>
  <si>
    <t xml:space="preserve">Anita Desai</t>
  </si>
  <si>
    <t xml:space="preserve">+91 98710 52895</t>
  </si>
  <si>
    <t xml:space="preserve">anita.desai99@rediffmail.com</t>
  </si>
  <si>
    <t xml:space="preserve">@swadeshi_garage</t>
  </si>
  <si>
    <t xml:space="preserve">Royal Walk</t>
  </si>
  <si>
    <t xml:space="preserve">Naresh Joshi</t>
  </si>
  <si>
    <t xml:space="preserve">+91 92660 90295</t>
  </si>
  <si>
    <t xml:space="preserve">naresh.joshi99@rediffmail.com</t>
  </si>
  <si>
    <t xml:space="preserve">Urban Gadgets</t>
  </si>
  <si>
    <t xml:space="preserve">Asha Gajjar</t>
  </si>
  <si>
    <t xml:space="preserve">+91 96870 15704</t>
  </si>
  <si>
    <t xml:space="preserve">asha.gajjar99@yahoo.com</t>
  </si>
  <si>
    <t xml:space="preserve">@urban_gadgets</t>
  </si>
  <si>
    <t xml:space="preserve">Smart Wear</t>
  </si>
  <si>
    <t xml:space="preserve">Foram Gajjar</t>
  </si>
  <si>
    <t xml:space="preserve">+91 89900 62676</t>
  </si>
  <si>
    <t xml:space="preserve">foram.gajjar_in@rediffmail.com</t>
  </si>
  <si>
    <t xml:space="preserve">@smart_wear</t>
  </si>
  <si>
    <t xml:space="preserve">Swadeshi Steel</t>
  </si>
  <si>
    <t xml:space="preserve">Ashok Desai</t>
  </si>
  <si>
    <t xml:space="preserve">+91 99250 05411</t>
  </si>
  <si>
    <t xml:space="preserve">ashok.desai_in@yahoo.com</t>
  </si>
  <si>
    <t xml:space="preserve">@swadeshi_steel</t>
  </si>
  <si>
    <t xml:space="preserve">Jai Digital</t>
  </si>
  <si>
    <t xml:space="preserve">Bhavna Verma</t>
  </si>
  <si>
    <t xml:space="preserve">+91 74050 70629</t>
  </si>
  <si>
    <t xml:space="preserve">bhavna.verma_co@yahoo.com</t>
  </si>
  <si>
    <t xml:space="preserve">Laxmi Store</t>
  </si>
  <si>
    <t xml:space="preserve">Sanjay Nair</t>
  </si>
  <si>
    <t xml:space="preserve">+91 99110 44431</t>
  </si>
  <si>
    <t xml:space="preserve">sanjay.nair@outlook.com</t>
  </si>
  <si>
    <t xml:space="preserve">@laxmi_store</t>
  </si>
  <si>
    <t xml:space="preserve">Modern Boutique</t>
  </si>
  <si>
    <t xml:space="preserve">Suresh Pandya</t>
  </si>
  <si>
    <t xml:space="preserve">+91 63590 97310</t>
  </si>
  <si>
    <t xml:space="preserve">suresh.pandya99@yahoo.com</t>
  </si>
  <si>
    <t xml:space="preserve">@modern_boutique</t>
  </si>
  <si>
    <t xml:space="preserve">Super Care</t>
  </si>
  <si>
    <t xml:space="preserve">Vivek Bhatt</t>
  </si>
  <si>
    <t xml:space="preserve">+91 93270 18625</t>
  </si>
  <si>
    <t xml:space="preserve">vivek.bhatt_co@hotmail.com</t>
  </si>
  <si>
    <t xml:space="preserve">Apna Garden</t>
  </si>
  <si>
    <t xml:space="preserve">Ritu Kapoor</t>
  </si>
  <si>
    <t xml:space="preserve">+91 96560 02115</t>
  </si>
  <si>
    <t xml:space="preserve">ritu.kapoor_co@rediffmail.com</t>
  </si>
  <si>
    <t xml:space="preserve">Town Home</t>
  </si>
  <si>
    <t xml:space="preserve">Tushar Verma</t>
  </si>
  <si>
    <t xml:space="preserve">+91 96560 37416</t>
  </si>
  <si>
    <t xml:space="preserve">tushar.verma@rediffmail.com</t>
  </si>
  <si>
    <t xml:space="preserve">@town_home</t>
  </si>
  <si>
    <t xml:space="preserve">Premium Animal Care</t>
  </si>
  <si>
    <t xml:space="preserve">Yogesh Mehta</t>
  </si>
  <si>
    <t xml:space="preserve">+91 90160 32061</t>
  </si>
  <si>
    <t xml:space="preserve">yogesh.mehta_co@yahoo.com</t>
  </si>
  <si>
    <t xml:space="preserve">@premium_animal_care</t>
  </si>
  <si>
    <t xml:space="preserve">Swadeshi Auto</t>
  </si>
  <si>
    <t xml:space="preserve">Mahesh Rana</t>
  </si>
  <si>
    <t xml:space="preserve">+91 99090 68685</t>
  </si>
  <si>
    <t xml:space="preserve">mahesh.rana2024@rediffmail.com</t>
  </si>
  <si>
    <t xml:space="preserve">@swadeshi_auto</t>
  </si>
  <si>
    <t xml:space="preserve">Classic Fun</t>
  </si>
  <si>
    <t xml:space="preserve">Tushar Mehta</t>
  </si>
  <si>
    <t xml:space="preserve">+91 96560 91191</t>
  </si>
  <si>
    <t xml:space="preserve">tushar.mehta2024@rediffmail.com</t>
  </si>
  <si>
    <t xml:space="preserve">@classic_fun</t>
  </si>
  <si>
    <t xml:space="preserve">Jai Confectionery</t>
  </si>
  <si>
    <t xml:space="preserve">Nilesh Agrawal</t>
  </si>
  <si>
    <t xml:space="preserve">+91 98790 24629</t>
  </si>
  <si>
    <t xml:space="preserve">nilesh.agrawal_co@gmail.com</t>
  </si>
  <si>
    <t xml:space="preserve">@jai_confectionery</t>
  </si>
  <si>
    <t xml:space="preserve">Town Parts</t>
  </si>
  <si>
    <t xml:space="preserve">Kiran Patel</t>
  </si>
  <si>
    <t xml:space="preserve">+91 74050 50544</t>
  </si>
  <si>
    <t xml:space="preserve">kiran.patel2024@outlook.com</t>
  </si>
  <si>
    <t xml:space="preserve">@town_parts</t>
  </si>
  <si>
    <t xml:space="preserve">Balaji Parts</t>
  </si>
  <si>
    <t xml:space="preserve">Anita Bhatt</t>
  </si>
  <si>
    <t xml:space="preserve">+91 93270 69137</t>
  </si>
  <si>
    <t xml:space="preserve">anita.bhatt99@outlook.com</t>
  </si>
  <si>
    <t xml:space="preserve">@balaji_parts</t>
  </si>
  <si>
    <t xml:space="preserve">Silver Walk</t>
  </si>
  <si>
    <t xml:space="preserve">Kavya Gupta</t>
  </si>
  <si>
    <t xml:space="preserve">+91 92660 28902</t>
  </si>
  <si>
    <t xml:space="preserve">kavya.gupta99@yahoo.com</t>
  </si>
  <si>
    <t xml:space="preserve">@silver_walk</t>
  </si>
  <si>
    <t xml:space="preserve">Elite Gold</t>
  </si>
  <si>
    <t xml:space="preserve">Sneha Patel</t>
  </si>
  <si>
    <t xml:space="preserve">+91 98630 78610</t>
  </si>
  <si>
    <t xml:space="preserve">sneha.patel99@hotmail.com</t>
  </si>
  <si>
    <t xml:space="preserve">@elite_gold</t>
  </si>
  <si>
    <t xml:space="preserve">Urban Mart</t>
  </si>
  <si>
    <t xml:space="preserve">Kriti Singh</t>
  </si>
  <si>
    <t xml:space="preserve">+91 63590 41406</t>
  </si>
  <si>
    <t xml:space="preserve">kriti.singh@yahoo.com</t>
  </si>
  <si>
    <t xml:space="preserve">@urban_mart</t>
  </si>
  <si>
    <t xml:space="preserve">Sai Handmade</t>
  </si>
  <si>
    <t xml:space="preserve">+91 93050 00722</t>
  </si>
  <si>
    <t xml:space="preserve">ashok.soni@yahoo.com</t>
  </si>
  <si>
    <t xml:space="preserve">Dinesh Glow</t>
  </si>
  <si>
    <t xml:space="preserve">Dinesh Nair</t>
  </si>
  <si>
    <t xml:space="preserve">+91 93270 37489</t>
  </si>
  <si>
    <t xml:space="preserve">dinesh.nair_co@rediffmail.com</t>
  </si>
  <si>
    <t xml:space="preserve">PRICING STRATEGY &amp; BUSINESS MODEL — Ecommerce Website Services</t>
  </si>
  <si>
    <t xml:space="preserve">📦  SERVICE PACKAGES  —  What to Charge</t>
  </si>
  <si>
    <t xml:space="preserve">Package</t>
  </si>
  <si>
    <t xml:space="preserve">Best For</t>
  </si>
  <si>
    <t xml:space="preserve">Key Features</t>
  </si>
  <si>
    <t xml:space="preserve">Setup (₹)</t>
  </si>
  <si>
    <t xml:space="preserve">AMC/yr (₹)</t>
  </si>
  <si>
    <t xml:space="preserve">Monthly SaaS (₹)</t>
  </si>
  <si>
    <t xml:space="preserve">Delivery</t>
  </si>
  <si>
    <t xml:space="preserve">Quick Launch</t>
  </si>
  <si>
    <t xml:space="preserve">Home sellers, first-timers</t>
  </si>
  <si>
    <t xml:space="preserve">Template store, 3 pages, 20 products, UPI+COD</t>
  </si>
  <si>
    <t xml:space="preserve">8,000</t>
  </si>
  <si>
    <t xml:space="preserve">3,000</t>
  </si>
  <si>
    <t xml:space="preserve">900</t>
  </si>
  <si>
    <t xml:space="preserve">3–5 days</t>
  </si>
  <si>
    <t xml:space="preserve">Starter Store</t>
  </si>
  <si>
    <t xml:space="preserve">Small retailers, food, crafts</t>
  </si>
  <si>
    <t xml:space="preserve">5 pages, 50 products, UPI+COD, WhatsApp chat</t>
  </si>
  <si>
    <t xml:space="preserve">15,000</t>
  </si>
  <si>
    <t xml:space="preserve">6,000</t>
  </si>
  <si>
    <t xml:space="preserve">1,500</t>
  </si>
  <si>
    <t xml:space="preserve">7–10 days</t>
  </si>
  <si>
    <t xml:space="preserve">Growth Store</t>
  </si>
  <si>
    <t xml:space="preserve">Clothing, food, gifting</t>
  </si>
  <si>
    <t xml:space="preserve">10 pages, 200 products, coupons, reviews, basic analytics</t>
  </si>
  <si>
    <t xml:space="preserve">30,000</t>
  </si>
  <si>
    <t xml:space="preserve">10,000</t>
  </si>
  <si>
    <t xml:space="preserve">2,500</t>
  </si>
  <si>
    <t xml:space="preserve">14–18 days</t>
  </si>
  <si>
    <t xml:space="preserve">Pro Store</t>
  </si>
  <si>
    <t xml:space="preserve">Electronics, hardware, medical</t>
  </si>
  <si>
    <t xml:space="preserve">Unlimited products, inventory, order mgmt, Razorpay, analytics</t>
  </si>
  <si>
    <t xml:space="preserve">55,000</t>
  </si>
  <si>
    <t xml:space="preserve">18,000</t>
  </si>
  <si>
    <t xml:space="preserve">4,500</t>
  </si>
  <si>
    <t xml:space="preserve">21–28 days</t>
  </si>
  <si>
    <t xml:space="preserve">Enterprise</t>
  </si>
  <si>
    <t xml:space="preserve">Manufacturer, D2C brand, B2B</t>
  </si>
  <si>
    <t xml:space="preserve">Custom design, ERP/GST integration, multi-vendor, API</t>
  </si>
  <si>
    <t xml:space="preserve">1,20,000</t>
  </si>
  <si>
    <t xml:space="preserve">35,000</t>
  </si>
  <si>
    <t xml:space="preserve">45–60 days</t>
  </si>
  <si>
    <t xml:space="preserve">🏗️  BUSINESS MODELS  —  How to Charge</t>
  </si>
  <si>
    <t xml:space="preserve">Model</t>
  </si>
  <si>
    <t xml:space="preserve">How It Works</t>
  </si>
  <si>
    <t xml:space="preserve">Upfront (₹)</t>
  </si>
  <si>
    <t xml:space="preserve">Recurring/mo (₹)</t>
  </si>
  <si>
    <t xml:space="preserve">Pro</t>
  </si>
  <si>
    <t xml:space="preserve">Con</t>
  </si>
  <si>
    <t xml:space="preserve">Verdict</t>
  </si>
  <si>
    <t xml:space="preserve">One-Time + AMC</t>
  </si>
  <si>
    <t xml:space="preserve">Pay once for build + annual maintenance</t>
  </si>
  <si>
    <t xml:space="preserve">25k–1.2L</t>
  </si>
  <si>
    <t xml:space="preserve">0 (AMC: 3k–35k/yr)</t>
  </si>
  <si>
    <t xml:space="preserve">SMBs, retailers</t>
  </si>
  <si>
    <t xml:space="preserve">Predictable revenue</t>
  </si>
  <si>
    <t xml:space="preserve">No MRR</t>
  </si>
  <si>
    <t xml:space="preserve">Good Start</t>
  </si>
  <si>
    <t xml:space="preserve">SaaS Monthly</t>
  </si>
  <si>
    <t xml:space="preserve">Low setup + monthly platform fee</t>
  </si>
  <si>
    <t xml:space="preserve">5k–15k</t>
  </si>
  <si>
    <t xml:space="preserve">1,500–8,000</t>
  </si>
  <si>
    <t xml:space="preserve">Startups, home sellers</t>
  </si>
  <si>
    <t xml:space="preserve">Growing MRR</t>
  </si>
  <si>
    <t xml:space="preserve">Slow revenue start</t>
  </si>
  <si>
    <t xml:space="preserve">Best Long-Term</t>
  </si>
  <si>
    <t xml:space="preserve">Hybrid (Recommended)</t>
  </si>
  <si>
    <t xml:space="preserve">Medium setup + ongoing SaaS fee</t>
  </si>
  <si>
    <t xml:space="preserve">15k–45k</t>
  </si>
  <si>
    <t xml:space="preserve">2,000–5,000</t>
  </si>
  <si>
    <t xml:space="preserve">All types</t>
  </si>
  <si>
    <t xml:space="preserve">Cash + MRR balance</t>
  </si>
  <si>
    <t xml:space="preserve">Needs clear explanation</t>
  </si>
  <si>
    <t xml:space="preserve">BEST MODEL ⭐</t>
  </si>
  <si>
    <t xml:space="preserve">Retainer</t>
  </si>
  <si>
    <t xml:space="preserve">Fixed monthly for updates + support</t>
  </si>
  <si>
    <t xml:space="preserve">10k–20k</t>
  </si>
  <si>
    <t xml:space="preserve">5,000–15,000</t>
  </si>
  <si>
    <t xml:space="preserve">Growing brands</t>
  </si>
  <si>
    <t xml:space="preserve">High sticky MRR</t>
  </si>
  <si>
    <t xml:space="preserve">Bandwidth heavy</t>
  </si>
  <si>
    <t xml:space="preserve">Add-on to SaaS</t>
  </si>
  <si>
    <t xml:space="preserve">One-Time Only</t>
  </si>
  <si>
    <t xml:space="preserve">Single payment, no contract</t>
  </si>
  <si>
    <t xml:space="preserve">15k–80k</t>
  </si>
  <si>
    <t xml:space="preserve">0</t>
  </si>
  <si>
    <t xml:space="preserve">Budget-conscious</t>
  </si>
  <si>
    <t xml:space="preserve">Simple close</t>
  </si>
  <si>
    <t xml:space="preserve">Feast-or-famine</t>
  </si>
  <si>
    <t xml:space="preserve">Avoid alone</t>
  </si>
  <si>
    <t xml:space="preserve">📊  REVENUE PROJECTOR  —  Estimated Monthly Income</t>
  </si>
  <si>
    <t xml:space="preserve">Metric</t>
  </si>
  <si>
    <t xml:space="preserve">Mo 1</t>
  </si>
  <si>
    <t xml:space="preserve">Mo 2</t>
  </si>
  <si>
    <t xml:space="preserve">Mo 3</t>
  </si>
  <si>
    <t xml:space="preserve">Mo 6</t>
  </si>
  <si>
    <t xml:space="preserve">Mo 9</t>
  </si>
  <si>
    <t xml:space="preserve">Mo 12</t>
  </si>
  <si>
    <t xml:space="preserve">Year 2</t>
  </si>
  <si>
    <t xml:space="preserve">Year 3</t>
  </si>
  <si>
    <t xml:space="preserve">New Clients / Month</t>
  </si>
  <si>
    <t xml:space="preserve">Avg Setup Fee (₹)</t>
  </si>
  <si>
    <t xml:space="preserve">One-Time Revenue (₹)</t>
  </si>
  <si>
    <t xml:space="preserve">SaaS Clients (Total)</t>
  </si>
  <si>
    <t xml:space="preserve">Avg SaaS Fee/mo (₹)</t>
  </si>
  <si>
    <t xml:space="preserve">SaaS Revenue/mo (₹)</t>
  </si>
  <si>
    <t xml:space="preserve">AMC Revenue/mo (₹)</t>
  </si>
  <si>
    <t xml:space="preserve">TOTAL Revenue/mo (₹)</t>
  </si>
  <si>
    <t xml:space="preserve">INFRASTRUCTURE COST CALCULATOR  —  Per Client Deployment</t>
  </si>
  <si>
    <t xml:space="preserve">Stack: Next.js (Frontend)  |  Supabase (Database + Storage)  |  Vercel (Hosting)  |  Razorpay (Payments)</t>
  </si>
  <si>
    <t xml:space="preserve">💸  PER CLIENT — ONE-TIME SETUP COSTS (You Pay)</t>
  </si>
  <si>
    <t xml:space="preserve">Item</t>
  </si>
  <si>
    <t xml:space="preserve">Provider</t>
  </si>
  <si>
    <t xml:space="preserve">Plan</t>
  </si>
  <si>
    <t xml:space="preserve">Cost (INR)</t>
  </si>
  <si>
    <t xml:space="preserve">Cost (USD)</t>
  </si>
  <si>
    <t xml:space="preserve">Frequency</t>
  </si>
  <si>
    <t xml:space="preserve">Billable to Client?</t>
  </si>
  <si>
    <t xml:space="preserve">Domain (.in / .com)</t>
  </si>
  <si>
    <t xml:space="preserve">GoDaddy / Namecheap</t>
  </si>
  <si>
    <t xml:space="preserve">1 year</t>
  </si>
  <si>
    <t xml:space="preserve">700 – 1,200</t>
  </si>
  <si>
    <t xml:space="preserve">~$9–14</t>
  </si>
  <si>
    <t xml:space="preserve">Annual</t>
  </si>
  <si>
    <t xml:space="preserve">Yes — charge client</t>
  </si>
  <si>
    <t xml:space="preserve">Add ₹500 margin. .in ≈ ₹700, .com ≈ ₹1,200</t>
  </si>
  <si>
    <t xml:space="preserve">SSL Certificate</t>
  </si>
  <si>
    <t xml:space="preserve">Vercel (auto)</t>
  </si>
  <si>
    <t xml:space="preserve">Free with Vercel</t>
  </si>
  <si>
    <t xml:space="preserve">$0</t>
  </si>
  <si>
    <t xml:space="preserve">Included</t>
  </si>
  <si>
    <t xml:space="preserve">N/A</t>
  </si>
  <si>
    <t xml:space="preserve">Let's Encrypt SSL auto-applied on Vercel</t>
  </si>
  <si>
    <t xml:space="preserve">Next.js Frontend Hosting</t>
  </si>
  <si>
    <t xml:space="preserve">Vercel</t>
  </si>
  <si>
    <t xml:space="preserve">Hobby (free) / Pro</t>
  </si>
  <si>
    <t xml:space="preserve">0 – 1,700/mo</t>
  </si>
  <si>
    <t xml:space="preserve">$0–$20/mo</t>
  </si>
  <si>
    <t xml:space="preserve">Monthly</t>
  </si>
  <si>
    <t xml:space="preserve">Included in SaaS fee</t>
  </si>
  <si>
    <t xml:space="preserve">Hobby free up to 100GB bandwidth. Pro for team</t>
  </si>
  <si>
    <t xml:space="preserve">Supabase — Database</t>
  </si>
  <si>
    <t xml:space="preserve">Supabase</t>
  </si>
  <si>
    <t xml:space="preserve">Free / Pro</t>
  </si>
  <si>
    <t xml:space="preserve">0 – 2,100/mo</t>
  </si>
  <si>
    <t xml:space="preserve">$0–$25/mo</t>
  </si>
  <si>
    <t xml:space="preserve">Free: 500MB DB, 1GB storage, 2GB bandwidth</t>
  </si>
  <si>
    <t xml:space="preserve">Supabase — Auth</t>
  </si>
  <si>
    <t xml:space="preserve">Included in plan</t>
  </si>
  <si>
    <t xml:space="preserve">50,000 MAU free on Free plan</t>
  </si>
  <si>
    <t xml:space="preserve">Supabase — Storage</t>
  </si>
  <si>
    <t xml:space="preserve">Free: 1GB / Pro: 100GB</t>
  </si>
  <si>
    <t xml:space="preserve">Product images stored here. Pro if 1GB exceeded</t>
  </si>
  <si>
    <t xml:space="preserve">Email Service (Transactional)</t>
  </si>
  <si>
    <t xml:space="preserve">Resend / Brevo</t>
  </si>
  <si>
    <t xml:space="preserve">Free tier</t>
  </si>
  <si>
    <t xml:space="preserve">0 – 850/mo</t>
  </si>
  <si>
    <t xml:space="preserve">$0–$10/mo</t>
  </si>
  <si>
    <t xml:space="preserve">3,000 emails/mo free on Resend</t>
  </si>
  <si>
    <t xml:space="preserve">Razorpay Setup</t>
  </si>
  <si>
    <t xml:space="preserve">Razorpay</t>
  </si>
  <si>
    <t xml:space="preserve">Free account</t>
  </si>
  <si>
    <t xml:space="preserve">One-time</t>
  </si>
  <si>
    <t xml:space="preserve">2% per transaction. Client pays this, not you</t>
  </si>
  <si>
    <t xml:space="preserve">SMS OTP (optional)</t>
  </si>
  <si>
    <t xml:space="preserve">Twilio / MSG91</t>
  </si>
  <si>
    <t xml:space="preserve">Pay-per-use</t>
  </si>
  <si>
    <t xml:space="preserve">~₹0.15–0.30 / SMS</t>
  </si>
  <si>
    <t xml:space="preserve">~$0.004</t>
  </si>
  <si>
    <t xml:space="preserve">Per use</t>
  </si>
  <si>
    <t xml:space="preserve">Pass-through to client</t>
  </si>
  <si>
    <t xml:space="preserve">Only needed if OTP login enabled</t>
  </si>
  <si>
    <t xml:space="preserve">CDN (Images)</t>
  </si>
  <si>
    <t xml:space="preserve">Vercel Edge / Supabase</t>
  </si>
  <si>
    <t xml:space="preserve">Both include CDN by default</t>
  </si>
  <si>
    <t xml:space="preserve">Custom Email (domain mail)</t>
  </si>
  <si>
    <t xml:space="preserve">Zoho Mail Free / Google Workspace</t>
  </si>
  <si>
    <t xml:space="preserve">Free / ₹125/user/mo</t>
  </si>
  <si>
    <t xml:space="preserve">0 – 125/mo</t>
  </si>
  <si>
    <t xml:space="preserve">$0–$1.5</t>
  </si>
  <si>
    <t xml:space="preserve">Yes — upsell to client</t>
  </si>
  <si>
    <t xml:space="preserve">Zoho free up to 5 users. Great upsell item</t>
  </si>
  <si>
    <t xml:space="preserve">📅  MONTHLY RUNNING COST — Per Active Client Store</t>
  </si>
  <si>
    <t xml:space="preserve">Service</t>
  </si>
  <si>
    <t xml:space="preserve">Free Plan Limit</t>
  </si>
  <si>
    <t xml:space="preserve">Free Plan Cost</t>
  </si>
  <si>
    <t xml:space="preserve">Paid Plan</t>
  </si>
  <si>
    <t xml:space="preserve">Paid Plan Cost (₹)</t>
  </si>
  <si>
    <t xml:space="preserve">When to Upgrade</t>
  </si>
  <si>
    <t xml:space="preserve">Your Action</t>
  </si>
  <si>
    <t xml:space="preserve">Vercel Hosting</t>
  </si>
  <si>
    <t xml:space="preserve">100GB bandwidth, 6000 min build</t>
  </si>
  <si>
    <t xml:space="preserve">₹0 / mo</t>
  </si>
  <si>
    <t xml:space="preserve">₹1,700/mo</t>
  </si>
  <si>
    <t xml:space="preserve">When &gt;100GB or team needed</t>
  </si>
  <si>
    <t xml:space="preserve">Use 1 Vercel Pro for ALL clients = ₹1,700/mo shared</t>
  </si>
  <si>
    <t xml:space="preserve">Supabase Database</t>
  </si>
  <si>
    <t xml:space="preserve">500MB DB, 2GB bandwidth</t>
  </si>
  <si>
    <t xml:space="preserve">₹2,100/mo</t>
  </si>
  <si>
    <t xml:space="preserve">When &gt;500MB DB or &gt;5GB bandwidth</t>
  </si>
  <si>
    <t xml:space="preserve">1 Supabase Pro org, separate projects per client</t>
  </si>
  <si>
    <t xml:space="preserve">Supabase Storage</t>
  </si>
  <si>
    <t xml:space="preserve">1GB file storage</t>
  </si>
  <si>
    <t xml:space="preserve">Included in Pro</t>
  </si>
  <si>
    <t xml:space="preserve">When client has &gt;1GB product images</t>
  </si>
  <si>
    <t xml:space="preserve">Upgrade project to Pro if image-heavy store</t>
  </si>
  <si>
    <t xml:space="preserve">Supabase Auth</t>
  </si>
  <si>
    <t xml:space="preserve">50,000 MAU</t>
  </si>
  <si>
    <t xml:space="preserve">When &gt;50K monthly active users</t>
  </si>
  <si>
    <t xml:space="preserve">Will not hit this limit for 99% clients</t>
  </si>
  <si>
    <t xml:space="preserve">Supabase Realtime</t>
  </si>
  <si>
    <t xml:space="preserve">200 concurrent connections</t>
  </si>
  <si>
    <t xml:space="preserve">Large stores with live inventory</t>
  </si>
  <si>
    <t xml:space="preserve">Rarely needed at SMB level</t>
  </si>
  <si>
    <t xml:space="preserve">Vercel KV / Edge Config</t>
  </si>
  <si>
    <t xml:space="preserve">Included in Hobby</t>
  </si>
  <si>
    <t xml:space="preserve">For caching, rate limiting</t>
  </si>
  <si>
    <t xml:space="preserve">Optional — good for performance</t>
  </si>
  <si>
    <t xml:space="preserve">Email (Transactional)</t>
  </si>
  <si>
    <t xml:space="preserve">Resend</t>
  </si>
  <si>
    <t xml:space="preserve">3,000 emails/mo</t>
  </si>
  <si>
    <t xml:space="preserve">Starter</t>
  </si>
  <si>
    <t xml:space="preserve">₹700/mo</t>
  </si>
  <si>
    <t xml:space="preserve">When orders exceed ~100/day</t>
  </si>
  <si>
    <t xml:space="preserve">1 Resend account for all clients (different domains)</t>
  </si>
  <si>
    <t xml:space="preserve">Monitoring (optional)</t>
  </si>
  <si>
    <t xml:space="preserve">Sentry</t>
  </si>
  <si>
    <t xml:space="preserve">5,000 errors/mo</t>
  </si>
  <si>
    <t xml:space="preserve">Team</t>
  </si>
  <si>
    <t xml:space="preserve">₹1,900/mo</t>
  </si>
  <si>
    <t xml:space="preserve">Production bugs start affecting clients</t>
  </si>
  <si>
    <t xml:space="preserve">Add to Pro package clients only</t>
  </si>
  <si>
    <t xml:space="preserve">🧮  COST SCALING MODEL — Your Real Monthly Infra Expense vs Revenue</t>
  </si>
  <si>
    <t xml:space="preserve">Cost Item</t>
  </si>
  <si>
    <t xml:space="preserve">1 Client</t>
  </si>
  <si>
    <t xml:space="preserve">5 Clients</t>
  </si>
  <si>
    <t xml:space="preserve">10 Clients</t>
  </si>
  <si>
    <t xml:space="preserve">20 Clients</t>
  </si>
  <si>
    <t xml:space="preserve">50 Clients</t>
  </si>
  <si>
    <t xml:space="preserve">Strategy</t>
  </si>
  <si>
    <t xml:space="preserve">Vercel (1 Pro account)</t>
  </si>
  <si>
    <t xml:space="preserve">₹0</t>
  </si>
  <si>
    <t xml:space="preserve">₹1,700</t>
  </si>
  <si>
    <t xml:space="preserve">₹1,700 × 2</t>
  </si>
  <si>
    <t xml:space="preserve">1 Pro handles ~30–40 stores. Add 2nd Pro at 40+</t>
  </si>
  <si>
    <t xml:space="preserve">Share 1 Pro across all clients — do NOT create per client</t>
  </si>
  <si>
    <t xml:space="preserve">Supabase (per project)</t>
  </si>
  <si>
    <t xml:space="preserve">₹0–2,100</t>
  </si>
  <si>
    <t xml:space="preserve">₹2,100</t>
  </si>
  <si>
    <t xml:space="preserve">₹2,100 × 2</t>
  </si>
  <si>
    <t xml:space="preserve">₹2,100 × 4</t>
  </si>
  <si>
    <t xml:space="preserve">Free = 500MB per project. Pro = per org (all projects)</t>
  </si>
  <si>
    <t xml:space="preserve">Use 1 Supabase org Pro for up to ~15–20 active clients</t>
  </si>
  <si>
    <t xml:space="preserve">Domain (client pays)</t>
  </si>
  <si>
    <t xml:space="preserve">₹900</t>
  </si>
  <si>
    <t xml:space="preserve">₹4,500</t>
  </si>
  <si>
    <t xml:space="preserve">₹9,000</t>
  </si>
  <si>
    <t xml:space="preserve">₹18,000</t>
  </si>
  <si>
    <t xml:space="preserve">₹45,000</t>
  </si>
  <si>
    <t xml:space="preserve">Pass-through + ₹500 margin each</t>
  </si>
  <si>
    <t xml:space="preserve">Charge client ₹1,200–1,500. You pay ₹700–1,000</t>
  </si>
  <si>
    <t xml:space="preserve">Email (Resend)</t>
  </si>
  <si>
    <t xml:space="preserve">₹700</t>
  </si>
  <si>
    <t xml:space="preserve">₹1,400</t>
  </si>
  <si>
    <t xml:space="preserve">3K emails/mo free. 1 account covers ~5–7 small stores</t>
  </si>
  <si>
    <t xml:space="preserve">Upgrade to Starter ₹700/mo when order volume grows</t>
  </si>
  <si>
    <t xml:space="preserve">Monitoring (Sentry)</t>
  </si>
  <si>
    <t xml:space="preserve">₹1,900</t>
  </si>
  <si>
    <t xml:space="preserve">Only needed for Pro/Enterprise clients</t>
  </si>
  <si>
    <t xml:space="preserve">Add to Pro package only — charge ₹500/mo in SaaS fee</t>
  </si>
  <si>
    <t xml:space="preserve">TOTAL INFRA COST/mo (₹)</t>
  </si>
  <si>
    <t xml:space="preserve">Your cost — very low vs revenue</t>
  </si>
  <si>
    <t xml:space="preserve">Your SaaS Revenue/mo (₹)</t>
  </si>
  <si>
    <t xml:space="preserve">Avg ₹2,000/client/mo</t>
  </si>
  <si>
    <t xml:space="preserve">Scales much faster than cost</t>
  </si>
  <si>
    <t xml:space="preserve">GROSS MARGIN (₹)</t>
  </si>
  <si>
    <t xml:space="preserve">This is your profit before your salary/time</t>
  </si>
  <si>
    <t xml:space="preserve">✅  RECOMMENDED SETUP — Start Free, Scale Smart</t>
  </si>
  <si>
    <t xml:space="preserve">Phase</t>
  </si>
  <si>
    <t xml:space="preserve">Clients</t>
  </si>
  <si>
    <t xml:space="preserve">Email</t>
  </si>
  <si>
    <t xml:space="preserve">Domain</t>
  </si>
  <si>
    <t xml:space="preserve">Monthly Infra Cost</t>
  </si>
  <si>
    <t xml:space="preserve">Recommendation</t>
  </si>
  <si>
    <t xml:space="preserve">🚀 Launch</t>
  </si>
  <si>
    <t xml:space="preserve">1–3</t>
  </si>
  <si>
    <t xml:space="preserve">Hobby (Free)</t>
  </si>
  <si>
    <t xml:space="preserve">Free tier per project</t>
  </si>
  <si>
    <t xml:space="preserve">Resend Free</t>
  </si>
  <si>
    <t xml:space="preserve">Client pays</t>
  </si>
  <si>
    <t xml:space="preserve">₹0/mo</t>
  </si>
  <si>
    <t xml:space="preserve">Use all free tiers. Zero infra cost to start.</t>
  </si>
  <si>
    <t xml:space="preserve">📈 Growing</t>
  </si>
  <si>
    <t xml:space="preserve">4–10</t>
  </si>
  <si>
    <t xml:space="preserve">Pro ₹1,700/mo</t>
  </si>
  <si>
    <t xml:space="preserve">Free/Pro ₹2,100/mo</t>
  </si>
  <si>
    <t xml:space="preserve">₹1,700–3,800/mo</t>
  </si>
  <si>
    <t xml:space="preserve">Upgrade Vercel Pro. Share 1 Supabase Pro org.</t>
  </si>
  <si>
    <t xml:space="preserve">🏢 Scaling</t>
  </si>
  <si>
    <t xml:space="preserve">11–30</t>
  </si>
  <si>
    <t xml:space="preserve">1–2 Pro Orgs</t>
  </si>
  <si>
    <t xml:space="preserve">Resend Starter</t>
  </si>
  <si>
    <t xml:space="preserve">₹4,500–6,000/mo</t>
  </si>
  <si>
    <t xml:space="preserve">1 Vercel + 2 Supabase orgs. Very manageable.</t>
  </si>
  <si>
    <t xml:space="preserve">🌐 Agency</t>
  </si>
  <si>
    <t xml:space="preserve">30–50+</t>
  </si>
  <si>
    <t xml:space="preserve">Pro × 2</t>
  </si>
  <si>
    <t xml:space="preserve">3–4 Pro Orgs</t>
  </si>
  <si>
    <t xml:space="preserve">Resend Business</t>
  </si>
  <si>
    <t xml:space="preserve">₹8,000–15,000/mo</t>
  </si>
  <si>
    <t xml:space="preserve">By now SaaS revenue is ₹1L+/mo. Infra is &lt;15%.</t>
  </si>
  <si>
    <t xml:space="preserve">COLD OUTREACH SCRIPTS  —  Instagram DM · WhatsApp · Email · Follow-Up · Closing</t>
  </si>
  <si>
    <t xml:space="preserve">All leads in tracker are NOT CONTACTED yet — use these scripts to start outreach today</t>
  </si>
  <si>
    <t xml:space="preserve">Script Type</t>
  </si>
  <si>
    <t xml:space="preserve">Target</t>
  </si>
  <si>
    <t xml:space="preserve">Channel</t>
  </si>
  <si>
    <t xml:space="preserve">Hinglish Version</t>
  </si>
  <si>
    <t xml:space="preserve">English Version</t>
  </si>
  <si>
    <t xml:space="preserve">Tips</t>
  </si>
  <si>
    <t xml:space="preserve">Cold IG DM
(No Website)</t>
  </si>
  <si>
    <t xml:space="preserve">IG sellers with no
website link in bio</t>
  </si>
  <si>
    <t xml:space="preserve">Instagram</t>
  </si>
  <si>
    <t xml:space="preserve">Hii [Name] 👋
Aapka store dekha — bahut achha products hai!
Par ek baat notice ki: aapki koi website nahi hai. Iska matlab har roz bohot saare customers aapko Google par search karte hain aur khali haath waapis jaate hain.
Hum Gujarat ke small businesses ke liye professional ecommerce websites banate hain — sirf ₹15,000 se.
Kya main aapko 10 minute mein ek free demo dikha sakta hoon? 🙏</t>
  </si>
  <si>
    <t xml:space="preserve">Hi [Name] 👋
Loved checking out your store — great products!
One thing I noticed: you don't have a website yet. That means customers searching for you on Google are finding nothing and moving on.
We build professional ecommerce websites for Gujarat businesses starting at just ₹15,000.
Can I show you a quick free demo? Only takes 10 minutes 🙏</t>
  </si>
  <si>
    <t xml:space="preserve">• Mention 1 specific product you liked
• Send 10am–12pm or 7pm–9pm
• Check if they have 'link in bio' first
• Follow up once after 3 days if no reply</t>
  </si>
  <si>
    <t xml:space="preserve">Cold WhatsApp</t>
  </si>
  <si>
    <t xml:space="preserve">Business owners in
WhatsApp groups</t>
  </si>
  <si>
    <t xml:space="preserve">WhatsApp</t>
  </si>
  <si>
    <t xml:space="preserve">Hii [Name] 😊
Main [Your Name] hoon — hum local businesses ke liye ecommerce websites banate hain.
Mainne recently [Similar City] mein ek [similar niche] store ke liye website banayi — unhe pehle 2 hafte mein 50+ orders aaye.
Aapka bhi ek proper online store hona chahiye na? Main ek free demo video bhej sakta hoon — sirf 2 minute ka hai.
Batao? 😊</t>
  </si>
  <si>
    <t xml:space="preserve">Hi [Name] 😊
I'm [Your Name] — we build ecommerce websites for local Gujarat businesses.
I recently built a store for a [similar niche] shop in [nearby city] — they received 50+ orders in their first 2 weeks.
Your business deserves the same! I can send you a quick 2-min demo video for free.
Interested? 😊</t>
  </si>
  <si>
    <t xml:space="preserve">• Always name-drop a similar niche business
• Send short message first, demo link in next msg
• Best time: 8–10am or 6–8pm
• Max 2 follow-ups — then move on</t>
  </si>
  <si>
    <t xml:space="preserve">JustDial / IndiaMart
listed businesses</t>
  </si>
  <si>
    <t xml:space="preserve">Subject: [Business Name] ke liye ek online store?
Namaste [Name Bhai/Ben],
Mainne aapka [Business Name] JustDial par dekha. Aapka offline business clearly strong hai!
Par ek cheez miss ho rahi hai — aapki apni ecommerce website nahi hai. Iska matlab aap Amazon/Meesho ko 20–30% commission de rahe ho jo aapki hi pocket mein aa sakta tha.
Hum aapke liye ek custom ecommerce website banate hain:
✅ Mobile-friendly
✅ UPI + COD payments
✅ Order management
✅ Starting ₹15,000 only
Kya is hafte 15 minute ki free call ho sakti hai?
Regards,
[Your Name] | [Phone]</t>
  </si>
  <si>
    <t xml:space="preserve">Subject: Ready to take [Business Name] online?
Dear [Name],
I found [Business Name] on JustDial — clearly a well-established business!
However, I noticed you don't have your own ecommerce website. That means you're either missing online customers or paying 20–30% commission to platforms like Amazon/Meesho.
We build custom ecommerce websites for Gujarat businesses:
✅ Mobile-first design
✅ UPI + COD + Razorpay
✅ Full order management
✅ Starting at just ₹15,000
Would you be open to a free 15-minute call this week?
Best,
[Your Name] | [Phone] | [Website]</t>
  </si>
  <si>
    <t xml:space="preserve">• Business name in subject = 40% higher open rate
• Send Tue–Thu, 10–11am
• Include 1 portfolio link
• Follow up after 3 days with a different angle</t>
  </si>
  <si>
    <t xml:space="preserve">Follow-Up
(No Reply, Day 3)</t>
  </si>
  <si>
    <t xml:space="preserve">Any unresponsive lead</t>
  </si>
  <si>
    <t xml:space="preserve">Any Channel</t>
  </si>
  <si>
    <t xml:space="preserve">Hii [Name] 😊
Bas ek baar check karna tha — kya aapne mera message dekha?
Main jaanta hoon aap busy rehte ho. Sirf batana chahta tha ki hum is month [City] mein sirf 3 naye clients le rahe hain.
Agar interested ho toh abhi bata dena — warna koi tension nahi! 🙏</t>
  </si>
  <si>
    <t xml:space="preserve">Hi [Name] 😊
Just checking in — did you get a chance to see my last message?
Totally understand if things are busy! Just wanted to mention we're only taking on 3 new clients this month in [City].
Let me know if you'd like to chat — no pressure at all 🙏</t>
  </si>
  <si>
    <t xml:space="preserve">• Never say 'following up' — sounds pushy
• Create mild scarcity (3 slots/month)
• Max 2 follow-ups per lead total
• After 2nd no-reply — move to next lead</t>
  </si>
  <si>
    <t xml:space="preserve">Discovery Call
Opener</t>
  </si>
  <si>
    <t xml:space="preserve">Agreed-to-call leads</t>
  </si>
  <si>
    <t xml:space="preserve">Phone / Video</t>
  </si>
  <si>
    <t xml:space="preserve">Namaste [Name], time dene ke liye shukriya!
Main sirf 3 quick cheezein samajhna chahta hoon:
1. Abhi aap orders kaise manage karte ho — WhatsApp, phone, ya kuch aur?
2. Online jaane mein sabse bada concern kya hai?
3. Agar sab theek lage toh website kab tak chahiye hogi?
Baaki main aapko sab guide karunga — tension mat lo!</t>
  </si>
  <si>
    <t xml:space="preserve">Hi [Name], thank you so much for your time!
I just have 3 quick questions before I share anything:
1. How are you currently managing orders — WhatsApp, phone, or something else?
2. What's your biggest concern about going online?
3. If everything looks right, when would you ideally want to launch?
Based on your answers I'll suggest exactly what fits you best!</t>
  </si>
  <si>
    <t xml:space="preserve">• Listen 70% — talk 30%
• Never pitch in first 5 minutes
• Take notes on their answers
• End with: 'I'll send you a proposal by tomorrow'
• Send proposal within 24 hours</t>
  </si>
  <si>
    <t xml:space="preserve">Closing Message
(Post Demo)</t>
  </si>
  <si>
    <t xml:space="preserve">Leads who saw demo</t>
  </si>
  <si>
    <t xml:space="preserve">WhatsApp / Email</t>
  </si>
  <si>
    <t xml:space="preserve">Hi [Name] 😊
Demo kaisi lagi?
Aapke liye maine ek quick summary banayi:
✅ Package: [Package Name]
✅ Investment: ₹[X] setup + ₹[Y]/mo
✅ Timeline: [X] days mein live
✅ Includes: [Top 3 features]
Agar aaj confirm karo toh hum [Specific Date] tak launch kar sakte hain 🚀
Koi bhi sawaal ho toh batao — main yahan hoon! 🙏</t>
  </si>
  <si>
    <t xml:space="preserve">Hi [Name] 😊
Hope the demo was helpful!
Here's a quick summary for you:
✅ Package: [Package Name]
✅ Investment: ₹[X] setup + ₹[Y]/month
✅ Go-live: [X] working days
✅ Includes: [Top 3 features]
If you confirm today, we can launch by [Specific Date] 🚀
Feel free to ask anything — happy to help! 🙏</t>
  </si>
  <si>
    <t xml:space="preserve">• Always give a specific launch date
• Offer 1 small bonus for fast confirmation
• List only top 3 features — not everything
• Follow up once after 48 hrs if no reply
• Never discount more than 10%</t>
  </si>
  <si>
    <t xml:space="preserve">SALES PIPELINE DASHBOARD  —  Live Summary (Auto from Lead Tracker)</t>
  </si>
  <si>
    <t xml:space="preserve">📊  PIPELINE OVERVIEW</t>
  </si>
  <si>
    <t xml:space="preserve">Total Leads</t>
  </si>
  <si>
    <t xml:space="preserve">In Progress</t>
  </si>
  <si>
    <t xml:space="preserve">Interested / Demo</t>
  </si>
  <si>
    <t xml:space="preserve">Closed Won</t>
  </si>
  <si>
    <t xml:space="preserve">Closed Lost</t>
  </si>
  <si>
    <t xml:space="preserve">Conversion Rate</t>
  </si>
  <si>
    <t xml:space="preserve">Pipeline Value (₹)</t>
  </si>
  <si>
    <t xml:space="preserve">🔽  STAGE FUNNEL  —  Count per Status</t>
  </si>
  <si>
    <t xml:space="preserve">Stage</t>
  </si>
  <si>
    <t xml:space="preserve">Count</t>
  </si>
  <si>
    <t xml:space="preserve">% of Total</t>
  </si>
  <si>
    <t xml:space="preserve">Avg Deal (₹)</t>
  </si>
  <si>
    <t xml:space="preserve">Est. Pipeline (₹)</t>
  </si>
  <si>
    <t xml:space="preserve">Priority Action</t>
  </si>
  <si>
    <t xml:space="preserve">Days in Stage</t>
  </si>
  <si>
    <t xml:space="preserve">Next Step</t>
  </si>
  <si>
    <t xml:space="preserve">25000</t>
  </si>
  <si>
    <t xml:space="preserve">Start outreach immediately</t>
  </si>
  <si>
    <t xml:space="preserve">Send DM/Email today</t>
  </si>
  <si>
    <t xml:space="preserve">DM / Email / WA Sent</t>
  </si>
  <si>
    <t xml:space="preserve">28000</t>
  </si>
  <si>
    <t xml:space="preserve">Follow up after 3 days</t>
  </si>
  <si>
    <t xml:space="preserve">1–3 days</t>
  </si>
  <si>
    <t xml:space="preserve">Send follow-up message</t>
  </si>
  <si>
    <t xml:space="preserve">Call Done</t>
  </si>
  <si>
    <t xml:space="preserve">32000</t>
  </si>
  <si>
    <t xml:space="preserve">Send proposal within 24hrs</t>
  </si>
  <si>
    <t xml:space="preserve">&lt;1 day</t>
  </si>
  <si>
    <t xml:space="preserve">Send demo + proposal</t>
  </si>
  <si>
    <t xml:space="preserve">Interested / Demo Shown</t>
  </si>
  <si>
    <t xml:space="preserve">38000</t>
  </si>
  <si>
    <t xml:space="preserve">Schedule follow-up call</t>
  </si>
  <si>
    <t xml:space="preserve">2–5 days</t>
  </si>
  <si>
    <t xml:space="preserve">Close with proposal</t>
  </si>
  <si>
    <t xml:space="preserve">Proposal Sent</t>
  </si>
  <si>
    <t xml:space="preserve">42000</t>
  </si>
  <si>
    <t xml:space="preserve">Follow up after 48 hrs</t>
  </si>
  <si>
    <t xml:space="preserve">2–3 days</t>
  </si>
  <si>
    <t xml:space="preserve">Push to confirm</t>
  </si>
  <si>
    <t xml:space="preserve">Negotiating</t>
  </si>
  <si>
    <t xml:space="preserve">45000</t>
  </si>
  <si>
    <t xml:space="preserve">Offer bonus to close fast</t>
  </si>
  <si>
    <t xml:space="preserve">1–2 days</t>
  </si>
  <si>
    <t xml:space="preserve">Close today</t>
  </si>
  <si>
    <t xml:space="preserve">40000</t>
  </si>
  <si>
    <t xml:space="preserve">Onboard &amp; start building</t>
  </si>
  <si>
    <t xml:space="preserve">—</t>
  </si>
  <si>
    <t xml:space="preserve">Kick off project</t>
  </si>
  <si>
    <t xml:space="preserve">TOTAL</t>
  </si>
  <si>
    <t xml:space="preserve">Review every Monday</t>
  </si>
  <si>
    <t xml:space="preserve">📅  WEEKLY OUTREACH CHECKLIST</t>
  </si>
  <si>
    <t xml:space="preserve">Monday</t>
  </si>
  <si>
    <t xml:space="preserve">Review all leads. Send 15 fresh DMs/emails to 'Not Contacted' leads. Update tracker.</t>
  </si>
  <si>
    <t xml:space="preserve">Tuesday</t>
  </si>
  <si>
    <t xml:space="preserve">Follow up with anyone who received a DM/email 3 days ago. Send demo video to warm leads.</t>
  </si>
  <si>
    <t xml:space="preserve">Wednesday</t>
  </si>
  <si>
    <t xml:space="preserve">Schedule calls with all 'Interested' leads. Prepare personalized proposals.</t>
  </si>
  <si>
    <t xml:space="preserve">Thursday</t>
  </si>
  <si>
    <t xml:space="preserve">Send proposals to post-call leads. Push 'Proposal Sent' leads for confirmation.</t>
  </si>
  <si>
    <t xml:space="preserve">Friday</t>
  </si>
  <si>
    <t xml:space="preserve">Close any 'Negotiating' deals. Offer small bonus (free domain, 1 extra page).</t>
  </si>
  <si>
    <t xml:space="preserve">Saturday</t>
  </si>
  <si>
    <t xml:space="preserve">Research 20 new leads on IG/JustDial. Add to tracker with 'Not Contacted' status.</t>
  </si>
  <si>
    <t xml:space="preserve">Sunday</t>
  </si>
  <si>
    <t xml:space="preserve">Review pipeline numbers. Plan next week's outreach. Update revenue projector.</t>
  </si>
</sst>
</file>

<file path=xl/styles.xml><?xml version="1.0" encoding="utf-8"?>
<styleSheet xmlns="http://schemas.openxmlformats.org/spreadsheetml/2006/main">
  <numFmts count="3">
    <numFmt numFmtId="164" formatCode="General"/>
    <numFmt numFmtId="165" formatCode="General"/>
    <numFmt numFmtId="166" formatCode="0.0%"/>
  </numFmts>
  <fonts count="16">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AAAAAA"/>
      <name val="Arial"/>
      <family val="0"/>
      <charset val="1"/>
    </font>
    <font>
      <b val="true"/>
      <sz val="9"/>
      <color rgb="FFFFFFFF"/>
      <name val="Arial"/>
      <family val="0"/>
      <charset val="1"/>
    </font>
    <font>
      <b val="true"/>
      <sz val="8"/>
      <color rgb="FF000000"/>
      <name val="Arial"/>
      <family val="0"/>
      <charset val="1"/>
    </font>
    <font>
      <sz val="8"/>
      <color rgb="FF000000"/>
      <name val="Arial"/>
      <family val="0"/>
      <charset val="1"/>
    </font>
    <font>
      <b val="true"/>
      <sz val="14"/>
      <color rgb="FFFFFFFF"/>
      <name val="Arial"/>
      <family val="0"/>
      <charset val="1"/>
    </font>
    <font>
      <b val="true"/>
      <sz val="11"/>
      <color rgb="FFFFFFFF"/>
      <name val="Arial"/>
      <family val="0"/>
      <charset val="1"/>
    </font>
    <font>
      <sz val="9"/>
      <color rgb="FF000000"/>
      <name val="Arial"/>
      <family val="0"/>
      <charset val="1"/>
    </font>
    <font>
      <b val="true"/>
      <sz val="9"/>
      <color rgb="FF000000"/>
      <name val="Arial"/>
      <family val="0"/>
      <charset val="1"/>
    </font>
    <font>
      <b val="true"/>
      <sz val="9"/>
      <color rgb="FF145A32"/>
      <name val="Arial"/>
      <family val="0"/>
      <charset val="1"/>
    </font>
    <font>
      <b val="true"/>
      <sz val="13"/>
      <color rgb="FFFFFFFF"/>
      <name val="Arial"/>
      <family val="0"/>
      <charset val="1"/>
    </font>
    <font>
      <b val="true"/>
      <sz val="18"/>
      <color rgb="FF1A1A2E"/>
      <name val="Arial"/>
      <family val="0"/>
      <charset val="1"/>
    </font>
  </fonts>
  <fills count="20">
    <fill>
      <patternFill patternType="none"/>
    </fill>
    <fill>
      <patternFill patternType="gray125"/>
    </fill>
    <fill>
      <patternFill patternType="solid">
        <fgColor rgb="FF1A1A2E"/>
        <bgColor rgb="FF16213E"/>
      </patternFill>
    </fill>
    <fill>
      <patternFill patternType="solid">
        <fgColor rgb="FF0F3460"/>
        <bgColor rgb="FF16213E"/>
      </patternFill>
    </fill>
    <fill>
      <patternFill patternType="solid">
        <fgColor rgb="FFE8EAF6"/>
        <bgColor rgb="FFEBF5FB"/>
      </patternFill>
    </fill>
    <fill>
      <patternFill patternType="solid">
        <fgColor rgb="FFF5F5F5"/>
        <bgColor rgb="FFF2F3F4"/>
      </patternFill>
    </fill>
    <fill>
      <patternFill patternType="solid">
        <fgColor rgb="FFEBF5FB"/>
        <bgColor rgb="FFF2F3F4"/>
      </patternFill>
    </fill>
    <fill>
      <patternFill patternType="solid">
        <fgColor rgb="FFFEF9E7"/>
        <bgColor rgb="FFF5F5F5"/>
      </patternFill>
    </fill>
    <fill>
      <patternFill patternType="solid">
        <fgColor rgb="FFFFFFFF"/>
        <bgColor rgb="FFFEF9E7"/>
      </patternFill>
    </fill>
    <fill>
      <patternFill patternType="solid">
        <fgColor rgb="FFFADBD8"/>
        <bgColor rgb="FFE8DAEF"/>
      </patternFill>
    </fill>
    <fill>
      <patternFill patternType="solid">
        <fgColor rgb="FF16213E"/>
        <bgColor rgb="FF1A1A2E"/>
      </patternFill>
    </fill>
    <fill>
      <patternFill patternType="solid">
        <fgColor rgb="FFEAF7EA"/>
        <bgColor rgb="FFEBF5FB"/>
      </patternFill>
    </fill>
    <fill>
      <patternFill patternType="solid">
        <fgColor rgb="FFF9EBEA"/>
        <bgColor rgb="FFF2F3F4"/>
      </patternFill>
    </fill>
    <fill>
      <patternFill patternType="solid">
        <fgColor rgb="FFE8DAEF"/>
        <bgColor rgb="FFFADBD8"/>
      </patternFill>
    </fill>
    <fill>
      <patternFill patternType="solid">
        <fgColor rgb="FFA9DFBF"/>
        <bgColor rgb="FFCCCCCC"/>
      </patternFill>
    </fill>
    <fill>
      <patternFill patternType="solid">
        <fgColor rgb="FFF2F3F4"/>
        <bgColor rgb="FFF5F5F5"/>
      </patternFill>
    </fill>
    <fill>
      <patternFill patternType="solid">
        <fgColor rgb="FFD5F5E3"/>
        <bgColor rgb="FFD6EAF8"/>
      </patternFill>
    </fill>
    <fill>
      <patternFill patternType="solid">
        <fgColor rgb="FFD6EAF8"/>
        <bgColor rgb="FFE8EAF6"/>
      </patternFill>
    </fill>
    <fill>
      <patternFill patternType="solid">
        <fgColor rgb="FFFCF3CF"/>
        <bgColor rgb="FFFDEBD0"/>
      </patternFill>
    </fill>
    <fill>
      <patternFill patternType="solid">
        <fgColor rgb="FFFDEBD0"/>
        <bgColor rgb="FFFCF3CF"/>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10" borderId="2"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11" fillId="11" borderId="1" xfId="0" applyFont="true" applyBorder="true" applyAlignment="true" applyProtection="false">
      <alignment horizontal="center" vertical="center" textRotation="0" wrapText="true" indent="0" shrinkToFit="false"/>
      <protection locked="true" hidden="false"/>
    </xf>
    <xf numFmtId="164" fontId="12" fillId="11" borderId="1" xfId="0" applyFont="true" applyBorder="true" applyAlignment="true" applyProtection="false">
      <alignment horizontal="center" vertical="center" textRotation="0" wrapText="true" indent="0" shrinkToFit="false"/>
      <protection locked="true" hidden="false"/>
    </xf>
    <xf numFmtId="164" fontId="11" fillId="11" borderId="1" xfId="0" applyFont="true" applyBorder="true" applyAlignment="true" applyProtection="false">
      <alignment horizontal="left" vertical="center" textRotation="0" wrapText="true" indent="0" shrinkToFit="false"/>
      <protection locked="true" hidden="false"/>
    </xf>
    <xf numFmtId="164" fontId="11" fillId="12" borderId="1" xfId="0" applyFont="true" applyBorder="true" applyAlignment="true" applyProtection="false">
      <alignment horizontal="center" vertical="center" textRotation="0" wrapText="true" indent="0" shrinkToFit="false"/>
      <protection locked="true" hidden="false"/>
    </xf>
    <xf numFmtId="164" fontId="12" fillId="12" borderId="1" xfId="0" applyFont="true" applyBorder="true" applyAlignment="true" applyProtection="false">
      <alignment horizontal="center" vertical="center" textRotation="0" wrapText="true" indent="0" shrinkToFit="false"/>
      <protection locked="true" hidden="false"/>
    </xf>
    <xf numFmtId="164" fontId="11" fillId="12" borderId="1" xfId="0" applyFont="true" applyBorder="true" applyAlignment="true" applyProtection="false">
      <alignment horizontal="left" vertical="center" textRotation="0" wrapText="true" indent="0" shrinkToFit="false"/>
      <protection locked="true" hidden="false"/>
    </xf>
    <xf numFmtId="164" fontId="11" fillId="13" borderId="1" xfId="0" applyFont="true" applyBorder="true" applyAlignment="true" applyProtection="false">
      <alignment horizontal="center" vertical="center" textRotation="0" wrapText="true" indent="0" shrinkToFit="false"/>
      <protection locked="true" hidden="false"/>
    </xf>
    <xf numFmtId="164" fontId="12" fillId="13" borderId="1" xfId="0" applyFont="true" applyBorder="true" applyAlignment="true" applyProtection="false">
      <alignment horizontal="center" vertical="center" textRotation="0" wrapText="true" indent="0" shrinkToFit="false"/>
      <protection locked="true" hidden="false"/>
    </xf>
    <xf numFmtId="164" fontId="11" fillId="13" borderId="1" xfId="0" applyFont="true" applyBorder="true" applyAlignment="true" applyProtection="false">
      <alignment horizontal="left" vertical="center" textRotation="0" wrapText="true" indent="0" shrinkToFit="false"/>
      <protection locked="true" hidden="false"/>
    </xf>
    <xf numFmtId="164" fontId="12" fillId="14" borderId="1" xfId="0" applyFont="true" applyBorder="true" applyAlignment="true" applyProtection="false">
      <alignment horizontal="center" vertical="center" textRotation="0" wrapText="true" indent="0" shrinkToFit="false"/>
      <protection locked="true" hidden="false"/>
    </xf>
    <xf numFmtId="164" fontId="11" fillId="15" borderId="1" xfId="0" applyFont="true" applyBorder="true" applyAlignment="true" applyProtection="false">
      <alignment horizontal="center" vertical="center" textRotation="0" wrapText="true" indent="0" shrinkToFit="false"/>
      <protection locked="true" hidden="false"/>
    </xf>
    <xf numFmtId="164" fontId="12" fillId="15"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3" fillId="14"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8" fillId="11" borderId="1" xfId="0" applyFont="true" applyBorder="true" applyAlignment="true" applyProtection="false">
      <alignment horizontal="left" vertical="center" textRotation="0" wrapText="true" indent="0" shrinkToFit="false"/>
      <protection locked="true" hidden="false"/>
    </xf>
    <xf numFmtId="164" fontId="7" fillId="12" borderId="1" xfId="0" applyFont="true" applyBorder="true" applyAlignment="true" applyProtection="false">
      <alignment horizontal="left" vertical="center" textRotation="0" wrapText="tru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4" fontId="8" fillId="12" borderId="1" xfId="0" applyFont="true" applyBorder="true" applyAlignment="true" applyProtection="false">
      <alignment horizontal="left" vertical="center" textRotation="0" wrapText="true" indent="0" shrinkToFit="false"/>
      <protection locked="true" hidden="false"/>
    </xf>
    <xf numFmtId="164" fontId="7" fillId="13" borderId="1" xfId="0" applyFont="true" applyBorder="true" applyAlignment="true" applyProtection="false">
      <alignment horizontal="left" vertical="center" textRotation="0" wrapText="tru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8" fillId="13" borderId="1"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7" fillId="16" borderId="1" xfId="0" applyFont="true" applyBorder="true" applyAlignment="true" applyProtection="false">
      <alignment horizontal="left"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left" vertical="center" textRotation="0" wrapText="true" indent="0" shrinkToFit="false"/>
      <protection locked="true" hidden="false"/>
    </xf>
    <xf numFmtId="165" fontId="7" fillId="14"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12" fillId="16" borderId="1" xfId="0" applyFont="true" applyBorder="true" applyAlignment="true" applyProtection="false">
      <alignment horizontal="center" vertical="center" textRotation="0" wrapText="true" indent="0" shrinkToFit="false"/>
      <protection locked="true" hidden="false"/>
    </xf>
    <xf numFmtId="164" fontId="11" fillId="16" borderId="1" xfId="0" applyFont="true" applyBorder="true" applyAlignment="true" applyProtection="false">
      <alignment horizontal="center" vertical="center" textRotation="0" wrapText="true" indent="0" shrinkToFit="false"/>
      <protection locked="true" hidden="false"/>
    </xf>
    <xf numFmtId="164" fontId="11" fillId="16" borderId="1"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7" fillId="17"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12" fillId="17"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12" fillId="18" borderId="1" xfId="0" applyFont="true" applyBorder="true" applyAlignment="true" applyProtection="false">
      <alignment horizontal="center" vertical="center" textRotation="0" wrapText="true" indent="0" shrinkToFit="false"/>
      <protection locked="true" hidden="false"/>
    </xf>
    <xf numFmtId="165" fontId="15" fillId="17" borderId="1" xfId="0" applyFont="true" applyBorder="true" applyAlignment="true" applyProtection="false">
      <alignment horizontal="center" vertical="center" textRotation="0" wrapText="true" indent="0" shrinkToFit="false"/>
      <protection locked="true" hidden="false"/>
    </xf>
    <xf numFmtId="165" fontId="15" fillId="6" borderId="1" xfId="0" applyFont="true" applyBorder="true" applyAlignment="true" applyProtection="false">
      <alignment horizontal="center" vertical="center" textRotation="0" wrapText="true" indent="0" shrinkToFit="false"/>
      <protection locked="true" hidden="false"/>
    </xf>
    <xf numFmtId="165" fontId="15" fillId="7" borderId="1" xfId="0" applyFont="true" applyBorder="true" applyAlignment="true" applyProtection="false">
      <alignment horizontal="center" vertical="center" textRotation="0" wrapText="true" indent="0" shrinkToFit="false"/>
      <protection locked="true" hidden="false"/>
    </xf>
    <xf numFmtId="165" fontId="15" fillId="16" borderId="1" xfId="0" applyFont="true" applyBorder="true" applyAlignment="true" applyProtection="false">
      <alignment horizontal="center" vertical="center" textRotation="0" wrapText="true" indent="0" shrinkToFit="false"/>
      <protection locked="true" hidden="false"/>
    </xf>
    <xf numFmtId="165" fontId="15" fillId="14" borderId="1" xfId="0" applyFont="true" applyBorder="true" applyAlignment="true" applyProtection="false">
      <alignment horizontal="center" vertical="center" textRotation="0" wrapText="true" indent="0" shrinkToFit="false"/>
      <protection locked="true" hidden="false"/>
    </xf>
    <xf numFmtId="165" fontId="15" fillId="9" borderId="1" xfId="0" applyFont="true" applyBorder="true" applyAlignment="true" applyProtection="false">
      <alignment horizontal="center" vertical="center" textRotation="0" wrapText="true" indent="0" shrinkToFit="false"/>
      <protection locked="true" hidden="false"/>
    </xf>
    <xf numFmtId="166" fontId="15" fillId="13" borderId="1" xfId="0" applyFont="true" applyBorder="true" applyAlignment="true" applyProtection="false">
      <alignment horizontal="center" vertical="center" textRotation="0" wrapText="true" indent="0" shrinkToFit="false"/>
      <protection locked="true" hidden="false"/>
    </xf>
    <xf numFmtId="165" fontId="15" fillId="18" borderId="1" xfId="0" applyFont="true" applyBorder="true" applyAlignment="true" applyProtection="false">
      <alignment horizontal="center" vertical="center" textRotation="0" wrapText="true" indent="0" shrinkToFit="false"/>
      <protection locked="true" hidden="false"/>
    </xf>
    <xf numFmtId="166" fontId="11" fillId="6" borderId="1" xfId="0" applyFont="true" applyBorder="true" applyAlignment="true" applyProtection="false">
      <alignment horizontal="center" vertical="center" textRotation="0" wrapText="true" indent="0" shrinkToFit="false"/>
      <protection locked="true" hidden="false"/>
    </xf>
    <xf numFmtId="164" fontId="11" fillId="17" borderId="1" xfId="0" applyFont="true" applyBorder="true" applyAlignment="true" applyProtection="false">
      <alignment horizontal="center" vertical="center" textRotation="0" wrapText="true" indent="0" shrinkToFit="false"/>
      <protection locked="true" hidden="false"/>
    </xf>
    <xf numFmtId="166" fontId="11" fillId="17" borderId="1" xfId="0" applyFont="true" applyBorder="true" applyAlignment="true" applyProtection="false">
      <alignment horizontal="center" vertical="center" textRotation="0" wrapText="true" indent="0" shrinkToFit="false"/>
      <protection locked="true" hidden="false"/>
    </xf>
    <xf numFmtId="164" fontId="11" fillId="17" borderId="1" xfId="0" applyFont="true" applyBorder="true" applyAlignment="true" applyProtection="false">
      <alignment horizontal="left" vertical="center" textRotation="0" wrapText="true" indent="0" shrinkToFit="false"/>
      <protection locked="true" hidden="false"/>
    </xf>
    <xf numFmtId="166" fontId="11" fillId="7" borderId="1" xfId="0" applyFont="true" applyBorder="true" applyAlignment="true" applyProtection="false">
      <alignment horizontal="center" vertical="center" textRotation="0" wrapText="true" indent="0" shrinkToFit="false"/>
      <protection locked="true" hidden="false"/>
    </xf>
    <xf numFmtId="166" fontId="11" fillId="11" borderId="1" xfId="0" applyFont="true" applyBorder="true" applyAlignment="true" applyProtection="false">
      <alignment horizontal="center" vertical="center" textRotation="0" wrapText="true" indent="0" shrinkToFit="false"/>
      <protection locked="true" hidden="false"/>
    </xf>
    <xf numFmtId="164" fontId="11" fillId="18" borderId="1" xfId="0" applyFont="true" applyBorder="true" applyAlignment="true" applyProtection="false">
      <alignment horizontal="center" vertical="center" textRotation="0" wrapText="true" indent="0" shrinkToFit="false"/>
      <protection locked="true" hidden="false"/>
    </xf>
    <xf numFmtId="166" fontId="11" fillId="18" borderId="1" xfId="0" applyFont="true" applyBorder="true" applyAlignment="true" applyProtection="false">
      <alignment horizontal="center" vertical="center" textRotation="0" wrapText="true" indent="0" shrinkToFit="false"/>
      <protection locked="true" hidden="false"/>
    </xf>
    <xf numFmtId="164" fontId="11" fillId="18" borderId="1" xfId="0" applyFont="true" applyBorder="true" applyAlignment="true" applyProtection="false">
      <alignment horizontal="left" vertical="center" textRotation="0" wrapText="true" indent="0" shrinkToFit="false"/>
      <protection locked="true" hidden="false"/>
    </xf>
    <xf numFmtId="164" fontId="11" fillId="19" borderId="1" xfId="0" applyFont="true" applyBorder="true" applyAlignment="true" applyProtection="false">
      <alignment horizontal="center" vertical="center" textRotation="0" wrapText="true" indent="0" shrinkToFit="false"/>
      <protection locked="true" hidden="false"/>
    </xf>
    <xf numFmtId="166" fontId="11" fillId="19" borderId="1" xfId="0" applyFont="true" applyBorder="true" applyAlignment="true" applyProtection="false">
      <alignment horizontal="center" vertical="center" textRotation="0" wrapText="true" indent="0" shrinkToFit="false"/>
      <protection locked="true" hidden="false"/>
    </xf>
    <xf numFmtId="164" fontId="11" fillId="19" borderId="1" xfId="0" applyFont="true" applyBorder="true" applyAlignment="true" applyProtection="false">
      <alignment horizontal="left" vertical="center" textRotation="0" wrapText="true" indent="0" shrinkToFit="false"/>
      <protection locked="true" hidden="false"/>
    </xf>
    <xf numFmtId="164" fontId="11" fillId="14" borderId="1" xfId="0" applyFont="true" applyBorder="true" applyAlignment="true" applyProtection="false">
      <alignment horizontal="center" vertical="center" textRotation="0" wrapText="true" indent="0" shrinkToFit="false"/>
      <protection locked="true" hidden="false"/>
    </xf>
    <xf numFmtId="166" fontId="11" fillId="14" borderId="1" xfId="0" applyFont="true" applyBorder="true" applyAlignment="true" applyProtection="false">
      <alignment horizontal="center" vertical="center" textRotation="0" wrapText="true" indent="0" shrinkToFit="false"/>
      <protection locked="true" hidden="false"/>
    </xf>
    <xf numFmtId="164" fontId="11" fillId="14" borderId="1" xfId="0" applyFont="true" applyBorder="true" applyAlignment="true" applyProtection="false">
      <alignment horizontal="left" vertical="center" textRotation="0" wrapText="true" indent="0" shrinkToFit="false"/>
      <protection locked="true" hidden="false"/>
    </xf>
    <xf numFmtId="164" fontId="12" fillId="13" borderId="1" xfId="0" applyFont="true" applyBorder="true" applyAlignment="true" applyProtection="false">
      <alignment horizontal="left" vertical="center" textRotation="0" wrapText="true" indent="0" shrinkToFit="false"/>
      <protection locked="true" hidden="false"/>
    </xf>
    <xf numFmtId="164" fontId="11" fillId="8" borderId="2" xfId="0" applyFont="true" applyBorder="true" applyAlignment="true" applyProtection="false">
      <alignment horizontal="left" vertical="center" textRotation="0" wrapText="true" indent="0" shrinkToFit="false"/>
      <protection locked="true" hidden="false"/>
    </xf>
    <xf numFmtId="164" fontId="11" fillId="5"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EF9E7"/>
      <rgbColor rgb="FFFF00FF"/>
      <rgbColor rgb="FF00FFFF"/>
      <rgbColor rgb="FF800000"/>
      <rgbColor rgb="FF145A32"/>
      <rgbColor rgb="FF000080"/>
      <rgbColor rgb="FF808000"/>
      <rgbColor rgb="FF800080"/>
      <rgbColor rgb="FF008080"/>
      <rgbColor rgb="FFCCCCCC"/>
      <rgbColor rgb="FF808080"/>
      <rgbColor rgb="FFF2F3F4"/>
      <rgbColor rgb="FF8E44AD"/>
      <rgbColor rgb="FFFCF3CF"/>
      <rgbColor rgb="FFD6EAF8"/>
      <rgbColor rgb="FF660066"/>
      <rgbColor rgb="FFFF8080"/>
      <rgbColor rgb="FF0066CC"/>
      <rgbColor rgb="FFE8DAEF"/>
      <rgbColor rgb="FF000080"/>
      <rgbColor rgb="FFFF00FF"/>
      <rgbColor rgb="FFEAF7EA"/>
      <rgbColor rgb="FF00FFFF"/>
      <rgbColor rgb="FF800080"/>
      <rgbColor rgb="FF800000"/>
      <rgbColor rgb="FF008080"/>
      <rgbColor rgb="FF0000FF"/>
      <rgbColor rgb="FF00CCFF"/>
      <rgbColor rgb="FFEBF5FB"/>
      <rgbColor rgb="FFD5F5E3"/>
      <rgbColor rgb="FFFDEBD0"/>
      <rgbColor rgb="FFA9DFBF"/>
      <rgbColor rgb="FFF9EBEA"/>
      <rgbColor rgb="FFE8EAF6"/>
      <rgbColor rgb="FFFADBD8"/>
      <rgbColor rgb="FF3366FF"/>
      <rgbColor rgb="FF33CCCC"/>
      <rgbColor rgb="FF99CC00"/>
      <rgbColor rgb="FFF5F5F5"/>
      <rgbColor rgb="FFFF9900"/>
      <rgbColor rgb="FFE67E22"/>
      <rgbColor rgb="FF666699"/>
      <rgbColor rgb="FFAAAAAA"/>
      <rgbColor rgb="FF0F3460"/>
      <rgbColor rgb="FF27AE60"/>
      <rgbColor rgb="FF003300"/>
      <rgbColor rgb="FF1A1A2E"/>
      <rgbColor rgb="FF993300"/>
      <rgbColor rgb="FFE94560"/>
      <rgbColor rgb="FF333399"/>
      <rgbColor rgb="FF16213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3460"/>
    <pageSetUpPr fitToPage="false"/>
  </sheetPr>
  <dimension ref="A1:O2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22"/>
    <col collapsed="false" customWidth="true" hidden="false" outlineLevel="0" max="5" min="5" style="1" width="16"/>
    <col collapsed="false" customWidth="true" hidden="false" outlineLevel="0" max="6" min="6" style="1" width="20"/>
    <col collapsed="false" customWidth="true" hidden="false" outlineLevel="0" max="7" min="7" style="1" width="32"/>
    <col collapsed="false" customWidth="true" hidden="false" outlineLevel="0" max="8" min="8" style="1" width="26"/>
    <col collapsed="false" customWidth="true" hidden="false" outlineLevel="0" max="9" min="9" style="1" width="22"/>
    <col collapsed="false" customWidth="true" hidden="false" outlineLevel="0" max="10" min="10" style="1" width="18"/>
    <col collapsed="false" customWidth="true" hidden="false" outlineLevel="0" max="11" min="11" style="1" width="20"/>
    <col collapsed="false" customWidth="true" hidden="false" outlineLevel="0" max="12" min="12" style="1" width="22"/>
    <col collapsed="false" customWidth="true" hidden="false" outlineLevel="0" max="13" min="13" style="1" width="16"/>
    <col collapsed="false" customWidth="true" hidden="false" outlineLevel="0" max="14" min="14" style="1" width="22"/>
    <col collapsed="false" customWidth="true" hidden="false" outlineLevel="0" max="15" min="15" style="1" width="32"/>
  </cols>
  <sheetData>
    <row r="1" customFormat="false" ht="33.75" hidden="false" customHeight="true" outlineLevel="0" collapsed="false">
      <c r="A1" s="2" t="s">
        <v>0</v>
      </c>
      <c r="B1" s="2"/>
      <c r="C1" s="2"/>
      <c r="D1" s="2"/>
      <c r="E1" s="2"/>
      <c r="F1" s="2"/>
      <c r="G1" s="2"/>
      <c r="H1" s="2"/>
      <c r="I1" s="2"/>
      <c r="J1" s="2"/>
      <c r="K1" s="2"/>
      <c r="L1" s="2"/>
      <c r="M1" s="2"/>
      <c r="N1" s="2"/>
      <c r="O1" s="2"/>
    </row>
    <row r="2" customFormat="false" ht="18" hidden="false" customHeight="true" outlineLevel="0" collapsed="false">
      <c r="A2" s="3" t="s">
        <v>1</v>
      </c>
      <c r="B2" s="3"/>
      <c r="C2" s="3"/>
      <c r="D2" s="3"/>
      <c r="E2" s="3"/>
      <c r="F2" s="3"/>
      <c r="G2" s="3"/>
      <c r="H2" s="3"/>
      <c r="I2" s="3"/>
      <c r="J2" s="3"/>
      <c r="K2" s="3"/>
      <c r="L2" s="3"/>
      <c r="M2" s="3"/>
      <c r="N2" s="3"/>
      <c r="O2" s="3"/>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c r="N3" s="4" t="s">
        <v>15</v>
      </c>
      <c r="O3" s="4" t="s">
        <v>16</v>
      </c>
    </row>
    <row r="4" customFormat="false" ht="18" hidden="false" customHeight="true" outlineLevel="0" collapsed="false">
      <c r="A4" s="5" t="n">
        <v>1</v>
      </c>
      <c r="B4" s="6" t="s">
        <v>17</v>
      </c>
      <c r="C4" s="6" t="s">
        <v>18</v>
      </c>
      <c r="D4" s="6" t="s">
        <v>19</v>
      </c>
      <c r="E4" s="7" t="s">
        <v>20</v>
      </c>
      <c r="F4" s="7" t="s">
        <v>21</v>
      </c>
      <c r="G4" s="7" t="s">
        <v>22</v>
      </c>
      <c r="H4" s="6" t="s">
        <v>23</v>
      </c>
      <c r="I4" s="6" t="s">
        <v>23</v>
      </c>
      <c r="J4" s="6" t="s">
        <v>24</v>
      </c>
      <c r="K4" s="8" t="s">
        <v>25</v>
      </c>
      <c r="L4" s="7"/>
      <c r="M4" s="9" t="s">
        <v>26</v>
      </c>
      <c r="N4" s="7"/>
    </row>
    <row r="5" customFormat="false" ht="18" hidden="false" customHeight="true" outlineLevel="0" collapsed="false">
      <c r="A5" s="5" t="n">
        <v>2</v>
      </c>
      <c r="B5" s="10" t="s">
        <v>27</v>
      </c>
      <c r="C5" s="10" t="s">
        <v>28</v>
      </c>
      <c r="D5" s="10" t="s">
        <v>29</v>
      </c>
      <c r="E5" s="11" t="s">
        <v>30</v>
      </c>
      <c r="F5" s="11" t="s">
        <v>31</v>
      </c>
      <c r="G5" s="11" t="s">
        <v>32</v>
      </c>
      <c r="H5" s="10" t="s">
        <v>33</v>
      </c>
      <c r="I5" s="10" t="s">
        <v>23</v>
      </c>
      <c r="J5" s="10" t="s">
        <v>34</v>
      </c>
      <c r="K5" s="8" t="s">
        <v>25</v>
      </c>
      <c r="L5" s="11"/>
      <c r="M5" s="9" t="s">
        <v>26</v>
      </c>
      <c r="N5" s="11"/>
    </row>
    <row r="6" customFormat="false" ht="18" hidden="false" customHeight="true" outlineLevel="0" collapsed="false">
      <c r="A6" s="5" t="n">
        <v>3</v>
      </c>
      <c r="B6" s="6" t="s">
        <v>35</v>
      </c>
      <c r="C6" s="6" t="s">
        <v>36</v>
      </c>
      <c r="D6" s="6" t="s">
        <v>37</v>
      </c>
      <c r="E6" s="7" t="s">
        <v>38</v>
      </c>
      <c r="F6" s="7" t="s">
        <v>39</v>
      </c>
      <c r="G6" s="7" t="s">
        <v>40</v>
      </c>
      <c r="H6" s="6" t="s">
        <v>41</v>
      </c>
      <c r="I6" s="6" t="s">
        <v>23</v>
      </c>
      <c r="J6" s="6" t="s">
        <v>42</v>
      </c>
      <c r="K6" s="8" t="s">
        <v>25</v>
      </c>
      <c r="L6" s="7"/>
      <c r="M6" s="12" t="s">
        <v>43</v>
      </c>
      <c r="N6" s="7"/>
    </row>
    <row r="7" customFormat="false" ht="18" hidden="false" customHeight="true" outlineLevel="0" collapsed="false">
      <c r="A7" s="5" t="n">
        <v>4</v>
      </c>
      <c r="B7" s="10" t="s">
        <v>44</v>
      </c>
      <c r="C7" s="10" t="s">
        <v>45</v>
      </c>
      <c r="D7" s="10" t="s">
        <v>46</v>
      </c>
      <c r="E7" s="11" t="s">
        <v>47</v>
      </c>
      <c r="F7" s="11" t="s">
        <v>48</v>
      </c>
      <c r="G7" s="11" t="s">
        <v>49</v>
      </c>
      <c r="H7" s="10" t="s">
        <v>50</v>
      </c>
      <c r="I7" s="10" t="s">
        <v>23</v>
      </c>
      <c r="J7" s="10" t="s">
        <v>42</v>
      </c>
      <c r="K7" s="8" t="s">
        <v>25</v>
      </c>
      <c r="L7" s="11"/>
      <c r="M7" s="9" t="s">
        <v>26</v>
      </c>
      <c r="N7" s="11"/>
    </row>
    <row r="8" customFormat="false" ht="18" hidden="false" customHeight="true" outlineLevel="0" collapsed="false">
      <c r="A8" s="5" t="n">
        <v>5</v>
      </c>
      <c r="B8" s="6" t="s">
        <v>51</v>
      </c>
      <c r="C8" s="6" t="s">
        <v>52</v>
      </c>
      <c r="D8" s="6" t="s">
        <v>53</v>
      </c>
      <c r="E8" s="7" t="s">
        <v>54</v>
      </c>
      <c r="F8" s="7" t="s">
        <v>55</v>
      </c>
      <c r="G8" s="7" t="s">
        <v>56</v>
      </c>
      <c r="H8" s="6" t="s">
        <v>57</v>
      </c>
      <c r="I8" s="6" t="s">
        <v>23</v>
      </c>
      <c r="J8" s="6" t="s">
        <v>58</v>
      </c>
      <c r="K8" s="8" t="s">
        <v>25</v>
      </c>
      <c r="L8" s="7"/>
      <c r="M8" s="8" t="s">
        <v>59</v>
      </c>
      <c r="N8" s="7"/>
    </row>
    <row r="9" customFormat="false" ht="18" hidden="false" customHeight="true" outlineLevel="0" collapsed="false">
      <c r="A9" s="5" t="n">
        <v>6</v>
      </c>
      <c r="B9" s="10" t="s">
        <v>60</v>
      </c>
      <c r="C9" s="10" t="s">
        <v>61</v>
      </c>
      <c r="D9" s="10" t="s">
        <v>62</v>
      </c>
      <c r="E9" s="11" t="s">
        <v>63</v>
      </c>
      <c r="F9" s="11" t="s">
        <v>64</v>
      </c>
      <c r="G9" s="11" t="s">
        <v>65</v>
      </c>
      <c r="H9" s="10" t="s">
        <v>66</v>
      </c>
      <c r="I9" s="10" t="s">
        <v>23</v>
      </c>
      <c r="J9" s="10" t="s">
        <v>34</v>
      </c>
      <c r="K9" s="8" t="s">
        <v>25</v>
      </c>
      <c r="L9" s="11"/>
      <c r="M9" s="12" t="s">
        <v>43</v>
      </c>
      <c r="N9" s="11"/>
    </row>
    <row r="10" customFormat="false" ht="18" hidden="false" customHeight="true" outlineLevel="0" collapsed="false">
      <c r="A10" s="5" t="n">
        <v>7</v>
      </c>
      <c r="B10" s="6" t="s">
        <v>67</v>
      </c>
      <c r="C10" s="6" t="s">
        <v>68</v>
      </c>
      <c r="D10" s="6" t="s">
        <v>46</v>
      </c>
      <c r="E10" s="7" t="s">
        <v>69</v>
      </c>
      <c r="F10" s="7" t="s">
        <v>70</v>
      </c>
      <c r="G10" s="7" t="s">
        <v>71</v>
      </c>
      <c r="H10" s="6" t="s">
        <v>72</v>
      </c>
      <c r="I10" s="6" t="s">
        <v>23</v>
      </c>
      <c r="J10" s="6" t="s">
        <v>24</v>
      </c>
      <c r="K10" s="8" t="s">
        <v>25</v>
      </c>
      <c r="L10" s="7"/>
      <c r="M10" s="12" t="s">
        <v>43</v>
      </c>
      <c r="N10" s="7"/>
    </row>
    <row r="11" customFormat="false" ht="18" hidden="false" customHeight="true" outlineLevel="0" collapsed="false">
      <c r="A11" s="5" t="n">
        <v>8</v>
      </c>
      <c r="B11" s="10" t="s">
        <v>73</v>
      </c>
      <c r="C11" s="10" t="s">
        <v>74</v>
      </c>
      <c r="D11" s="10" t="s">
        <v>37</v>
      </c>
      <c r="E11" s="11" t="s">
        <v>75</v>
      </c>
      <c r="F11" s="11" t="s">
        <v>76</v>
      </c>
      <c r="G11" s="11" t="s">
        <v>77</v>
      </c>
      <c r="H11" s="10" t="s">
        <v>78</v>
      </c>
      <c r="I11" s="10" t="s">
        <v>23</v>
      </c>
      <c r="J11" s="10" t="s">
        <v>79</v>
      </c>
      <c r="K11" s="8" t="s">
        <v>25</v>
      </c>
      <c r="L11" s="11"/>
      <c r="M11" s="9" t="s">
        <v>26</v>
      </c>
      <c r="N11" s="11"/>
    </row>
    <row r="12" customFormat="false" ht="18" hidden="false" customHeight="true" outlineLevel="0" collapsed="false">
      <c r="A12" s="5" t="n">
        <v>9</v>
      </c>
      <c r="B12" s="6" t="s">
        <v>80</v>
      </c>
      <c r="C12" s="6" t="s">
        <v>81</v>
      </c>
      <c r="D12" s="6" t="s">
        <v>19</v>
      </c>
      <c r="E12" s="7" t="s">
        <v>82</v>
      </c>
      <c r="F12" s="7" t="s">
        <v>83</v>
      </c>
      <c r="G12" s="7" t="s">
        <v>84</v>
      </c>
      <c r="H12" s="6" t="s">
        <v>23</v>
      </c>
      <c r="I12" s="6" t="s">
        <v>23</v>
      </c>
      <c r="J12" s="6" t="s">
        <v>58</v>
      </c>
      <c r="K12" s="8" t="s">
        <v>25</v>
      </c>
      <c r="L12" s="7"/>
      <c r="M12" s="9" t="s">
        <v>26</v>
      </c>
      <c r="N12" s="7"/>
    </row>
    <row r="13" customFormat="false" ht="18" hidden="false" customHeight="true" outlineLevel="0" collapsed="false">
      <c r="A13" s="5" t="n">
        <v>10</v>
      </c>
      <c r="B13" s="10" t="s">
        <v>85</v>
      </c>
      <c r="C13" s="10" t="s">
        <v>86</v>
      </c>
      <c r="D13" s="10" t="s">
        <v>87</v>
      </c>
      <c r="E13" s="11" t="s">
        <v>63</v>
      </c>
      <c r="F13" s="11" t="s">
        <v>88</v>
      </c>
      <c r="G13" s="11" t="s">
        <v>89</v>
      </c>
      <c r="H13" s="10" t="s">
        <v>90</v>
      </c>
      <c r="I13" s="10" t="s">
        <v>23</v>
      </c>
      <c r="J13" s="10" t="s">
        <v>79</v>
      </c>
      <c r="K13" s="8" t="s">
        <v>25</v>
      </c>
      <c r="L13" s="11"/>
      <c r="M13" s="12" t="s">
        <v>43</v>
      </c>
      <c r="N13" s="11"/>
    </row>
    <row r="14" customFormat="false" ht="18" hidden="false" customHeight="true" outlineLevel="0" collapsed="false">
      <c r="A14" s="5" t="n">
        <v>11</v>
      </c>
      <c r="B14" s="6" t="s">
        <v>91</v>
      </c>
      <c r="C14" s="6" t="s">
        <v>92</v>
      </c>
      <c r="D14" s="6" t="s">
        <v>93</v>
      </c>
      <c r="E14" s="7" t="s">
        <v>82</v>
      </c>
      <c r="F14" s="7" t="s">
        <v>94</v>
      </c>
      <c r="G14" s="7" t="s">
        <v>95</v>
      </c>
      <c r="H14" s="6" t="s">
        <v>96</v>
      </c>
      <c r="I14" s="6" t="s">
        <v>23</v>
      </c>
      <c r="J14" s="6" t="s">
        <v>97</v>
      </c>
      <c r="K14" s="8" t="s">
        <v>25</v>
      </c>
      <c r="L14" s="7"/>
      <c r="M14" s="9" t="s">
        <v>26</v>
      </c>
      <c r="N14" s="7"/>
    </row>
    <row r="15" customFormat="false" ht="18" hidden="false" customHeight="true" outlineLevel="0" collapsed="false">
      <c r="A15" s="5" t="n">
        <v>12</v>
      </c>
      <c r="B15" s="10" t="s">
        <v>98</v>
      </c>
      <c r="C15" s="10" t="s">
        <v>99</v>
      </c>
      <c r="D15" s="10" t="s">
        <v>100</v>
      </c>
      <c r="E15" s="11" t="s">
        <v>69</v>
      </c>
      <c r="F15" s="11" t="s">
        <v>101</v>
      </c>
      <c r="G15" s="11" t="s">
        <v>102</v>
      </c>
      <c r="H15" s="10" t="s">
        <v>103</v>
      </c>
      <c r="I15" s="10" t="s">
        <v>23</v>
      </c>
      <c r="J15" s="10" t="s">
        <v>34</v>
      </c>
      <c r="K15" s="8" t="s">
        <v>25</v>
      </c>
      <c r="L15" s="11"/>
      <c r="M15" s="9" t="s">
        <v>26</v>
      </c>
      <c r="N15" s="11"/>
    </row>
    <row r="16" customFormat="false" ht="18" hidden="false" customHeight="true" outlineLevel="0" collapsed="false">
      <c r="A16" s="5" t="n">
        <v>13</v>
      </c>
      <c r="B16" s="6" t="s">
        <v>104</v>
      </c>
      <c r="C16" s="6" t="s">
        <v>105</v>
      </c>
      <c r="D16" s="6" t="s">
        <v>106</v>
      </c>
      <c r="E16" s="7" t="s">
        <v>107</v>
      </c>
      <c r="F16" s="7" t="s">
        <v>108</v>
      </c>
      <c r="G16" s="7" t="s">
        <v>109</v>
      </c>
      <c r="H16" s="6" t="s">
        <v>110</v>
      </c>
      <c r="I16" s="6" t="s">
        <v>23</v>
      </c>
      <c r="J16" s="6" t="s">
        <v>111</v>
      </c>
      <c r="K16" s="8" t="s">
        <v>25</v>
      </c>
      <c r="L16" s="7"/>
      <c r="M16" s="12" t="s">
        <v>43</v>
      </c>
      <c r="N16" s="7"/>
    </row>
    <row r="17" customFormat="false" ht="18" hidden="false" customHeight="true" outlineLevel="0" collapsed="false">
      <c r="A17" s="5" t="n">
        <v>14</v>
      </c>
      <c r="B17" s="10" t="s">
        <v>112</v>
      </c>
      <c r="C17" s="10" t="s">
        <v>113</v>
      </c>
      <c r="D17" s="10" t="s">
        <v>114</v>
      </c>
      <c r="E17" s="11" t="s">
        <v>63</v>
      </c>
      <c r="F17" s="11" t="s">
        <v>115</v>
      </c>
      <c r="G17" s="11" t="s">
        <v>116</v>
      </c>
      <c r="H17" s="10" t="s">
        <v>117</v>
      </c>
      <c r="I17" s="10" t="s">
        <v>23</v>
      </c>
      <c r="J17" s="10" t="s">
        <v>24</v>
      </c>
      <c r="K17" s="8" t="s">
        <v>25</v>
      </c>
      <c r="L17" s="11"/>
      <c r="M17" s="9" t="s">
        <v>26</v>
      </c>
      <c r="N17" s="11"/>
    </row>
    <row r="18" customFormat="false" ht="18" hidden="false" customHeight="true" outlineLevel="0" collapsed="false">
      <c r="A18" s="5" t="n">
        <v>15</v>
      </c>
      <c r="B18" s="6" t="s">
        <v>118</v>
      </c>
      <c r="C18" s="6" t="s">
        <v>119</v>
      </c>
      <c r="D18" s="6" t="s">
        <v>87</v>
      </c>
      <c r="E18" s="7" t="s">
        <v>82</v>
      </c>
      <c r="F18" s="7" t="s">
        <v>120</v>
      </c>
      <c r="G18" s="7" t="s">
        <v>121</v>
      </c>
      <c r="H18" s="6" t="s">
        <v>122</v>
      </c>
      <c r="I18" s="6" t="s">
        <v>23</v>
      </c>
      <c r="J18" s="6" t="s">
        <v>97</v>
      </c>
      <c r="K18" s="8" t="s">
        <v>25</v>
      </c>
      <c r="L18" s="7"/>
      <c r="M18" s="12" t="s">
        <v>43</v>
      </c>
      <c r="N18" s="7"/>
    </row>
    <row r="19" customFormat="false" ht="18" hidden="false" customHeight="true" outlineLevel="0" collapsed="false">
      <c r="A19" s="5" t="n">
        <v>16</v>
      </c>
      <c r="B19" s="10" t="s">
        <v>123</v>
      </c>
      <c r="C19" s="10" t="s">
        <v>124</v>
      </c>
      <c r="D19" s="10" t="s">
        <v>125</v>
      </c>
      <c r="E19" s="11" t="s">
        <v>69</v>
      </c>
      <c r="F19" s="11" t="s">
        <v>126</v>
      </c>
      <c r="G19" s="11" t="s">
        <v>127</v>
      </c>
      <c r="H19" s="10" t="s">
        <v>128</v>
      </c>
      <c r="I19" s="10" t="s">
        <v>23</v>
      </c>
      <c r="J19" s="10" t="s">
        <v>79</v>
      </c>
      <c r="K19" s="8" t="s">
        <v>25</v>
      </c>
      <c r="L19" s="11"/>
      <c r="M19" s="12" t="s">
        <v>43</v>
      </c>
      <c r="N19" s="11"/>
    </row>
    <row r="20" customFormat="false" ht="18" hidden="false" customHeight="true" outlineLevel="0" collapsed="false">
      <c r="A20" s="5" t="n">
        <v>17</v>
      </c>
      <c r="B20" s="6" t="s">
        <v>129</v>
      </c>
      <c r="C20" s="6" t="s">
        <v>130</v>
      </c>
      <c r="D20" s="6" t="s">
        <v>37</v>
      </c>
      <c r="E20" s="7" t="s">
        <v>63</v>
      </c>
      <c r="F20" s="7" t="s">
        <v>131</v>
      </c>
      <c r="G20" s="7" t="s">
        <v>132</v>
      </c>
      <c r="H20" s="6" t="s">
        <v>23</v>
      </c>
      <c r="I20" s="6" t="s">
        <v>23</v>
      </c>
      <c r="J20" s="6" t="s">
        <v>42</v>
      </c>
      <c r="K20" s="8" t="s">
        <v>25</v>
      </c>
      <c r="L20" s="7"/>
      <c r="M20" s="9" t="s">
        <v>26</v>
      </c>
      <c r="N20" s="7"/>
    </row>
    <row r="21" customFormat="false" ht="18" hidden="false" customHeight="true" outlineLevel="0" collapsed="false">
      <c r="A21" s="5" t="n">
        <v>18</v>
      </c>
      <c r="B21" s="10" t="s">
        <v>133</v>
      </c>
      <c r="C21" s="10" t="s">
        <v>134</v>
      </c>
      <c r="D21" s="10" t="s">
        <v>135</v>
      </c>
      <c r="E21" s="11" t="s">
        <v>30</v>
      </c>
      <c r="F21" s="11" t="s">
        <v>136</v>
      </c>
      <c r="G21" s="11" t="s">
        <v>137</v>
      </c>
      <c r="H21" s="10" t="s">
        <v>138</v>
      </c>
      <c r="I21" s="10" t="s">
        <v>23</v>
      </c>
      <c r="J21" s="10" t="s">
        <v>111</v>
      </c>
      <c r="K21" s="8" t="s">
        <v>25</v>
      </c>
      <c r="L21" s="11"/>
      <c r="M21" s="8" t="s">
        <v>59</v>
      </c>
      <c r="N21" s="11"/>
    </row>
    <row r="22" customFormat="false" ht="18" hidden="false" customHeight="true" outlineLevel="0" collapsed="false">
      <c r="A22" s="5" t="n">
        <v>19</v>
      </c>
      <c r="B22" s="6" t="s">
        <v>139</v>
      </c>
      <c r="C22" s="6" t="s">
        <v>140</v>
      </c>
      <c r="D22" s="6" t="s">
        <v>114</v>
      </c>
      <c r="E22" s="7" t="s">
        <v>47</v>
      </c>
      <c r="F22" s="7" t="s">
        <v>141</v>
      </c>
      <c r="G22" s="7" t="s">
        <v>142</v>
      </c>
      <c r="H22" s="6" t="s">
        <v>143</v>
      </c>
      <c r="I22" s="6" t="s">
        <v>23</v>
      </c>
      <c r="J22" s="6" t="s">
        <v>24</v>
      </c>
      <c r="K22" s="8" t="s">
        <v>25</v>
      </c>
      <c r="L22" s="7"/>
      <c r="M22" s="9" t="s">
        <v>26</v>
      </c>
      <c r="N22" s="7"/>
    </row>
    <row r="23" customFormat="false" ht="18" hidden="false" customHeight="true" outlineLevel="0" collapsed="false">
      <c r="A23" s="5" t="n">
        <v>20</v>
      </c>
      <c r="B23" s="10" t="s">
        <v>144</v>
      </c>
      <c r="C23" s="10" t="s">
        <v>145</v>
      </c>
      <c r="D23" s="10" t="s">
        <v>146</v>
      </c>
      <c r="E23" s="11" t="s">
        <v>107</v>
      </c>
      <c r="F23" s="11" t="s">
        <v>147</v>
      </c>
      <c r="G23" s="11" t="s">
        <v>148</v>
      </c>
      <c r="H23" s="10" t="s">
        <v>23</v>
      </c>
      <c r="I23" s="10" t="s">
        <v>23</v>
      </c>
      <c r="J23" s="10" t="s">
        <v>34</v>
      </c>
      <c r="K23" s="8" t="s">
        <v>25</v>
      </c>
      <c r="L23" s="11"/>
      <c r="M23" s="12" t="s">
        <v>43</v>
      </c>
      <c r="N23" s="11"/>
    </row>
    <row r="24" customFormat="false" ht="18" hidden="false" customHeight="true" outlineLevel="0" collapsed="false">
      <c r="A24" s="5" t="n">
        <v>21</v>
      </c>
      <c r="B24" s="6" t="s">
        <v>149</v>
      </c>
      <c r="C24" s="6" t="s">
        <v>150</v>
      </c>
      <c r="D24" s="6" t="s">
        <v>151</v>
      </c>
      <c r="E24" s="7" t="s">
        <v>152</v>
      </c>
      <c r="F24" s="7" t="s">
        <v>153</v>
      </c>
      <c r="G24" s="7" t="s">
        <v>154</v>
      </c>
      <c r="H24" s="6" t="s">
        <v>155</v>
      </c>
      <c r="I24" s="6" t="s">
        <v>23</v>
      </c>
      <c r="J24" s="6" t="s">
        <v>79</v>
      </c>
      <c r="K24" s="8" t="s">
        <v>25</v>
      </c>
      <c r="L24" s="7"/>
      <c r="M24" s="9" t="s">
        <v>26</v>
      </c>
      <c r="N24" s="7"/>
    </row>
    <row r="25" customFormat="false" ht="18" hidden="false" customHeight="true" outlineLevel="0" collapsed="false">
      <c r="A25" s="5" t="n">
        <v>22</v>
      </c>
      <c r="B25" s="10" t="s">
        <v>156</v>
      </c>
      <c r="C25" s="10" t="s">
        <v>157</v>
      </c>
      <c r="D25" s="10" t="s">
        <v>53</v>
      </c>
      <c r="E25" s="11" t="s">
        <v>158</v>
      </c>
      <c r="F25" s="11" t="s">
        <v>159</v>
      </c>
      <c r="G25" s="11" t="s">
        <v>160</v>
      </c>
      <c r="H25" s="10" t="s">
        <v>23</v>
      </c>
      <c r="I25" s="10" t="s">
        <v>23</v>
      </c>
      <c r="J25" s="10" t="s">
        <v>97</v>
      </c>
      <c r="K25" s="8" t="s">
        <v>25</v>
      </c>
      <c r="L25" s="11"/>
      <c r="M25" s="12" t="s">
        <v>43</v>
      </c>
      <c r="N25" s="11"/>
    </row>
    <row r="26" customFormat="false" ht="18" hidden="false" customHeight="true" outlineLevel="0" collapsed="false">
      <c r="A26" s="5" t="n">
        <v>23</v>
      </c>
      <c r="B26" s="6" t="s">
        <v>161</v>
      </c>
      <c r="C26" s="6" t="s">
        <v>162</v>
      </c>
      <c r="D26" s="6" t="s">
        <v>87</v>
      </c>
      <c r="E26" s="7" t="s">
        <v>30</v>
      </c>
      <c r="F26" s="7" t="s">
        <v>163</v>
      </c>
      <c r="G26" s="7" t="s">
        <v>164</v>
      </c>
      <c r="H26" s="6" t="s">
        <v>165</v>
      </c>
      <c r="I26" s="6" t="s">
        <v>23</v>
      </c>
      <c r="J26" s="6" t="s">
        <v>111</v>
      </c>
      <c r="K26" s="8" t="s">
        <v>25</v>
      </c>
      <c r="L26" s="7"/>
      <c r="M26" s="12" t="s">
        <v>43</v>
      </c>
      <c r="N26" s="7"/>
    </row>
    <row r="27" customFormat="false" ht="18" hidden="false" customHeight="true" outlineLevel="0" collapsed="false">
      <c r="A27" s="5" t="n">
        <v>24</v>
      </c>
      <c r="B27" s="10" t="s">
        <v>166</v>
      </c>
      <c r="C27" s="10" t="s">
        <v>167</v>
      </c>
      <c r="D27" s="10" t="s">
        <v>168</v>
      </c>
      <c r="E27" s="11" t="s">
        <v>75</v>
      </c>
      <c r="F27" s="11" t="s">
        <v>169</v>
      </c>
      <c r="G27" s="11" t="s">
        <v>170</v>
      </c>
      <c r="H27" s="10" t="s">
        <v>23</v>
      </c>
      <c r="I27" s="10" t="s">
        <v>23</v>
      </c>
      <c r="J27" s="10" t="s">
        <v>97</v>
      </c>
      <c r="K27" s="8" t="s">
        <v>25</v>
      </c>
      <c r="L27" s="11"/>
      <c r="M27" s="8" t="s">
        <v>59</v>
      </c>
      <c r="N27" s="11"/>
    </row>
    <row r="28" customFormat="false" ht="18" hidden="false" customHeight="true" outlineLevel="0" collapsed="false">
      <c r="A28" s="5" t="n">
        <v>25</v>
      </c>
      <c r="B28" s="6" t="s">
        <v>171</v>
      </c>
      <c r="C28" s="6" t="s">
        <v>172</v>
      </c>
      <c r="D28" s="6" t="s">
        <v>114</v>
      </c>
      <c r="E28" s="7" t="s">
        <v>63</v>
      </c>
      <c r="F28" s="7" t="s">
        <v>173</v>
      </c>
      <c r="G28" s="7" t="s">
        <v>174</v>
      </c>
      <c r="H28" s="6" t="s">
        <v>175</v>
      </c>
      <c r="I28" s="6" t="s">
        <v>23</v>
      </c>
      <c r="J28" s="6" t="s">
        <v>24</v>
      </c>
      <c r="K28" s="8" t="s">
        <v>25</v>
      </c>
      <c r="L28" s="7"/>
      <c r="M28" s="8" t="s">
        <v>59</v>
      </c>
      <c r="N28" s="7"/>
    </row>
    <row r="29" customFormat="false" ht="18" hidden="false" customHeight="true" outlineLevel="0" collapsed="false">
      <c r="A29" s="5" t="n">
        <v>26</v>
      </c>
      <c r="B29" s="10" t="s">
        <v>176</v>
      </c>
      <c r="C29" s="10" t="s">
        <v>177</v>
      </c>
      <c r="D29" s="10" t="s">
        <v>87</v>
      </c>
      <c r="E29" s="11" t="s">
        <v>38</v>
      </c>
      <c r="F29" s="11" t="s">
        <v>178</v>
      </c>
      <c r="G29" s="11" t="s">
        <v>179</v>
      </c>
      <c r="H29" s="10" t="s">
        <v>23</v>
      </c>
      <c r="I29" s="10" t="s">
        <v>23</v>
      </c>
      <c r="J29" s="10" t="s">
        <v>34</v>
      </c>
      <c r="K29" s="8" t="s">
        <v>25</v>
      </c>
      <c r="L29" s="11"/>
      <c r="M29" s="9" t="s">
        <v>26</v>
      </c>
      <c r="N29" s="11"/>
    </row>
    <row r="30" customFormat="false" ht="18" hidden="false" customHeight="true" outlineLevel="0" collapsed="false">
      <c r="A30" s="5" t="n">
        <v>27</v>
      </c>
      <c r="B30" s="6" t="s">
        <v>180</v>
      </c>
      <c r="C30" s="6" t="s">
        <v>181</v>
      </c>
      <c r="D30" s="6" t="s">
        <v>182</v>
      </c>
      <c r="E30" s="7" t="s">
        <v>183</v>
      </c>
      <c r="F30" s="7" t="s">
        <v>184</v>
      </c>
      <c r="G30" s="7" t="s">
        <v>185</v>
      </c>
      <c r="H30" s="6" t="s">
        <v>186</v>
      </c>
      <c r="I30" s="6" t="s">
        <v>23</v>
      </c>
      <c r="J30" s="6" t="s">
        <v>24</v>
      </c>
      <c r="K30" s="8" t="s">
        <v>25</v>
      </c>
      <c r="L30" s="7"/>
      <c r="M30" s="12" t="s">
        <v>43</v>
      </c>
      <c r="N30" s="7"/>
    </row>
    <row r="31" customFormat="false" ht="18" hidden="false" customHeight="true" outlineLevel="0" collapsed="false">
      <c r="A31" s="5" t="n">
        <v>28</v>
      </c>
      <c r="B31" s="10" t="s">
        <v>187</v>
      </c>
      <c r="C31" s="10" t="s">
        <v>188</v>
      </c>
      <c r="D31" s="10" t="s">
        <v>29</v>
      </c>
      <c r="E31" s="11" t="s">
        <v>189</v>
      </c>
      <c r="F31" s="11" t="s">
        <v>190</v>
      </c>
      <c r="G31" s="11" t="s">
        <v>191</v>
      </c>
      <c r="H31" s="10" t="s">
        <v>23</v>
      </c>
      <c r="I31" s="10" t="s">
        <v>23</v>
      </c>
      <c r="J31" s="10" t="s">
        <v>58</v>
      </c>
      <c r="K31" s="8" t="s">
        <v>25</v>
      </c>
      <c r="L31" s="11"/>
      <c r="M31" s="12" t="s">
        <v>43</v>
      </c>
      <c r="N31" s="11"/>
    </row>
    <row r="32" customFormat="false" ht="18" hidden="false" customHeight="true" outlineLevel="0" collapsed="false">
      <c r="A32" s="5" t="n">
        <v>29</v>
      </c>
      <c r="B32" s="6" t="s">
        <v>192</v>
      </c>
      <c r="C32" s="6" t="s">
        <v>193</v>
      </c>
      <c r="D32" s="6" t="s">
        <v>87</v>
      </c>
      <c r="E32" s="7" t="s">
        <v>47</v>
      </c>
      <c r="F32" s="7" t="s">
        <v>194</v>
      </c>
      <c r="G32" s="7" t="s">
        <v>195</v>
      </c>
      <c r="H32" s="6" t="s">
        <v>23</v>
      </c>
      <c r="I32" s="6" t="s">
        <v>23</v>
      </c>
      <c r="J32" s="6" t="s">
        <v>111</v>
      </c>
      <c r="K32" s="8" t="s">
        <v>25</v>
      </c>
      <c r="L32" s="7"/>
      <c r="M32" s="8" t="s">
        <v>59</v>
      </c>
      <c r="N32" s="7"/>
    </row>
    <row r="33" customFormat="false" ht="18" hidden="false" customHeight="true" outlineLevel="0" collapsed="false">
      <c r="A33" s="5" t="n">
        <v>30</v>
      </c>
      <c r="B33" s="10" t="s">
        <v>196</v>
      </c>
      <c r="C33" s="10" t="s">
        <v>197</v>
      </c>
      <c r="D33" s="10" t="s">
        <v>198</v>
      </c>
      <c r="E33" s="11" t="s">
        <v>158</v>
      </c>
      <c r="F33" s="11" t="s">
        <v>199</v>
      </c>
      <c r="G33" s="11" t="s">
        <v>200</v>
      </c>
      <c r="H33" s="10" t="s">
        <v>201</v>
      </c>
      <c r="I33" s="10" t="s">
        <v>23</v>
      </c>
      <c r="J33" s="10" t="s">
        <v>58</v>
      </c>
      <c r="K33" s="8" t="s">
        <v>25</v>
      </c>
      <c r="L33" s="11"/>
      <c r="M33" s="9" t="s">
        <v>26</v>
      </c>
      <c r="N33" s="11"/>
    </row>
    <row r="34" customFormat="false" ht="18" hidden="false" customHeight="true" outlineLevel="0" collapsed="false">
      <c r="A34" s="5" t="n">
        <v>31</v>
      </c>
      <c r="B34" s="6" t="s">
        <v>202</v>
      </c>
      <c r="C34" s="6" t="s">
        <v>203</v>
      </c>
      <c r="D34" s="6" t="s">
        <v>135</v>
      </c>
      <c r="E34" s="7" t="s">
        <v>38</v>
      </c>
      <c r="F34" s="7" t="s">
        <v>204</v>
      </c>
      <c r="G34" s="7" t="s">
        <v>205</v>
      </c>
      <c r="H34" s="6" t="s">
        <v>206</v>
      </c>
      <c r="I34" s="6" t="s">
        <v>23</v>
      </c>
      <c r="J34" s="6" t="s">
        <v>42</v>
      </c>
      <c r="K34" s="8" t="s">
        <v>25</v>
      </c>
      <c r="L34" s="7"/>
      <c r="M34" s="9" t="s">
        <v>26</v>
      </c>
      <c r="N34" s="7"/>
    </row>
    <row r="35" customFormat="false" ht="18" hidden="false" customHeight="true" outlineLevel="0" collapsed="false">
      <c r="A35" s="5" t="n">
        <v>32</v>
      </c>
      <c r="B35" s="10" t="s">
        <v>207</v>
      </c>
      <c r="C35" s="10" t="s">
        <v>208</v>
      </c>
      <c r="D35" s="10" t="s">
        <v>209</v>
      </c>
      <c r="E35" s="11" t="s">
        <v>107</v>
      </c>
      <c r="F35" s="11" t="s">
        <v>210</v>
      </c>
      <c r="G35" s="11" t="s">
        <v>211</v>
      </c>
      <c r="H35" s="10" t="s">
        <v>212</v>
      </c>
      <c r="I35" s="10" t="s">
        <v>23</v>
      </c>
      <c r="J35" s="10" t="s">
        <v>58</v>
      </c>
      <c r="K35" s="8" t="s">
        <v>25</v>
      </c>
      <c r="L35" s="11"/>
      <c r="M35" s="9" t="s">
        <v>26</v>
      </c>
      <c r="N35" s="11"/>
    </row>
    <row r="36" customFormat="false" ht="18" hidden="false" customHeight="true" outlineLevel="0" collapsed="false">
      <c r="A36" s="5" t="n">
        <v>33</v>
      </c>
      <c r="B36" s="6" t="s">
        <v>213</v>
      </c>
      <c r="C36" s="6" t="s">
        <v>214</v>
      </c>
      <c r="D36" s="6" t="s">
        <v>37</v>
      </c>
      <c r="E36" s="7" t="s">
        <v>107</v>
      </c>
      <c r="F36" s="7" t="s">
        <v>215</v>
      </c>
      <c r="G36" s="7" t="s">
        <v>216</v>
      </c>
      <c r="H36" s="6" t="s">
        <v>217</v>
      </c>
      <c r="I36" s="6" t="s">
        <v>23</v>
      </c>
      <c r="J36" s="6" t="s">
        <v>97</v>
      </c>
      <c r="K36" s="8" t="s">
        <v>25</v>
      </c>
      <c r="L36" s="7"/>
      <c r="M36" s="9" t="s">
        <v>26</v>
      </c>
      <c r="N36" s="7"/>
    </row>
    <row r="37" customFormat="false" ht="18" hidden="false" customHeight="true" outlineLevel="0" collapsed="false">
      <c r="A37" s="5" t="n">
        <v>34</v>
      </c>
      <c r="B37" s="10" t="s">
        <v>218</v>
      </c>
      <c r="C37" s="10" t="s">
        <v>219</v>
      </c>
      <c r="D37" s="10" t="s">
        <v>46</v>
      </c>
      <c r="E37" s="11" t="s">
        <v>47</v>
      </c>
      <c r="F37" s="11" t="s">
        <v>220</v>
      </c>
      <c r="G37" s="11" t="s">
        <v>221</v>
      </c>
      <c r="H37" s="10" t="s">
        <v>222</v>
      </c>
      <c r="I37" s="10" t="s">
        <v>23</v>
      </c>
      <c r="J37" s="10" t="s">
        <v>24</v>
      </c>
      <c r="K37" s="8" t="s">
        <v>25</v>
      </c>
      <c r="L37" s="11"/>
      <c r="M37" s="12" t="s">
        <v>43</v>
      </c>
      <c r="N37" s="11"/>
    </row>
    <row r="38" customFormat="false" ht="18" hidden="false" customHeight="true" outlineLevel="0" collapsed="false">
      <c r="A38" s="5" t="n">
        <v>35</v>
      </c>
      <c r="B38" s="6" t="s">
        <v>223</v>
      </c>
      <c r="C38" s="6" t="s">
        <v>224</v>
      </c>
      <c r="D38" s="6" t="s">
        <v>125</v>
      </c>
      <c r="E38" s="7" t="s">
        <v>107</v>
      </c>
      <c r="F38" s="7" t="s">
        <v>225</v>
      </c>
      <c r="G38" s="7" t="s">
        <v>226</v>
      </c>
      <c r="H38" s="6" t="s">
        <v>227</v>
      </c>
      <c r="I38" s="6" t="s">
        <v>23</v>
      </c>
      <c r="J38" s="6" t="s">
        <v>79</v>
      </c>
      <c r="K38" s="8" t="s">
        <v>25</v>
      </c>
      <c r="L38" s="7"/>
      <c r="M38" s="9" t="s">
        <v>26</v>
      </c>
      <c r="N38" s="7"/>
    </row>
    <row r="39" customFormat="false" ht="18" hidden="false" customHeight="true" outlineLevel="0" collapsed="false">
      <c r="A39" s="5" t="n">
        <v>36</v>
      </c>
      <c r="B39" s="10" t="s">
        <v>228</v>
      </c>
      <c r="C39" s="10" t="s">
        <v>229</v>
      </c>
      <c r="D39" s="10" t="s">
        <v>182</v>
      </c>
      <c r="E39" s="11" t="s">
        <v>30</v>
      </c>
      <c r="F39" s="11" t="s">
        <v>230</v>
      </c>
      <c r="G39" s="11" t="s">
        <v>231</v>
      </c>
      <c r="H39" s="10" t="s">
        <v>232</v>
      </c>
      <c r="I39" s="10" t="s">
        <v>23</v>
      </c>
      <c r="J39" s="10" t="s">
        <v>58</v>
      </c>
      <c r="K39" s="8" t="s">
        <v>25</v>
      </c>
      <c r="L39" s="11"/>
      <c r="M39" s="12" t="s">
        <v>43</v>
      </c>
      <c r="N39" s="11"/>
    </row>
    <row r="40" customFormat="false" ht="18" hidden="false" customHeight="true" outlineLevel="0" collapsed="false">
      <c r="A40" s="5" t="n">
        <v>37</v>
      </c>
      <c r="B40" s="6" t="s">
        <v>233</v>
      </c>
      <c r="C40" s="6" t="s">
        <v>234</v>
      </c>
      <c r="D40" s="6" t="s">
        <v>62</v>
      </c>
      <c r="E40" s="7" t="s">
        <v>158</v>
      </c>
      <c r="F40" s="7" t="s">
        <v>235</v>
      </c>
      <c r="G40" s="7" t="s">
        <v>236</v>
      </c>
      <c r="H40" s="6" t="s">
        <v>237</v>
      </c>
      <c r="I40" s="6" t="s">
        <v>23</v>
      </c>
      <c r="J40" s="6" t="s">
        <v>79</v>
      </c>
      <c r="K40" s="8" t="s">
        <v>25</v>
      </c>
      <c r="L40" s="7"/>
      <c r="M40" s="9" t="s">
        <v>26</v>
      </c>
      <c r="N40" s="7"/>
    </row>
    <row r="41" customFormat="false" ht="18" hidden="false" customHeight="true" outlineLevel="0" collapsed="false">
      <c r="A41" s="5" t="n">
        <v>38</v>
      </c>
      <c r="B41" s="10" t="s">
        <v>238</v>
      </c>
      <c r="C41" s="10" t="s">
        <v>239</v>
      </c>
      <c r="D41" s="10" t="s">
        <v>29</v>
      </c>
      <c r="E41" s="11" t="s">
        <v>63</v>
      </c>
      <c r="F41" s="11" t="s">
        <v>240</v>
      </c>
      <c r="G41" s="11" t="s">
        <v>241</v>
      </c>
      <c r="H41" s="10" t="s">
        <v>23</v>
      </c>
      <c r="I41" s="10" t="s">
        <v>23</v>
      </c>
      <c r="J41" s="10" t="s">
        <v>42</v>
      </c>
      <c r="K41" s="8" t="s">
        <v>25</v>
      </c>
      <c r="L41" s="11"/>
      <c r="M41" s="9" t="s">
        <v>26</v>
      </c>
      <c r="N41" s="11"/>
    </row>
    <row r="42" customFormat="false" ht="18" hidden="false" customHeight="true" outlineLevel="0" collapsed="false">
      <c r="A42" s="5" t="n">
        <v>39</v>
      </c>
      <c r="B42" s="6" t="s">
        <v>242</v>
      </c>
      <c r="C42" s="6" t="s">
        <v>243</v>
      </c>
      <c r="D42" s="6" t="s">
        <v>106</v>
      </c>
      <c r="E42" s="7" t="s">
        <v>20</v>
      </c>
      <c r="F42" s="7" t="s">
        <v>244</v>
      </c>
      <c r="G42" s="7" t="s">
        <v>245</v>
      </c>
      <c r="H42" s="6" t="s">
        <v>246</v>
      </c>
      <c r="I42" s="6" t="s">
        <v>23</v>
      </c>
      <c r="J42" s="6" t="s">
        <v>42</v>
      </c>
      <c r="K42" s="8" t="s">
        <v>25</v>
      </c>
      <c r="L42" s="7"/>
      <c r="M42" s="9" t="s">
        <v>26</v>
      </c>
      <c r="N42" s="7"/>
    </row>
    <row r="43" customFormat="false" ht="18" hidden="false" customHeight="true" outlineLevel="0" collapsed="false">
      <c r="A43" s="5" t="n">
        <v>40</v>
      </c>
      <c r="B43" s="10" t="s">
        <v>247</v>
      </c>
      <c r="C43" s="10" t="s">
        <v>248</v>
      </c>
      <c r="D43" s="10" t="s">
        <v>46</v>
      </c>
      <c r="E43" s="11" t="s">
        <v>189</v>
      </c>
      <c r="F43" s="11" t="s">
        <v>249</v>
      </c>
      <c r="G43" s="11" t="s">
        <v>250</v>
      </c>
      <c r="H43" s="10" t="s">
        <v>251</v>
      </c>
      <c r="I43" s="10" t="s">
        <v>23</v>
      </c>
      <c r="J43" s="10" t="s">
        <v>42</v>
      </c>
      <c r="K43" s="8" t="s">
        <v>25</v>
      </c>
      <c r="L43" s="11"/>
      <c r="M43" s="9" t="s">
        <v>26</v>
      </c>
      <c r="N43" s="11"/>
    </row>
    <row r="44" customFormat="false" ht="18" hidden="false" customHeight="true" outlineLevel="0" collapsed="false">
      <c r="A44" s="5" t="n">
        <v>41</v>
      </c>
      <c r="B44" s="6" t="s">
        <v>252</v>
      </c>
      <c r="C44" s="6" t="s">
        <v>253</v>
      </c>
      <c r="D44" s="6" t="s">
        <v>254</v>
      </c>
      <c r="E44" s="7" t="s">
        <v>69</v>
      </c>
      <c r="F44" s="7" t="s">
        <v>255</v>
      </c>
      <c r="G44" s="7" t="s">
        <v>256</v>
      </c>
      <c r="H44" s="6" t="s">
        <v>23</v>
      </c>
      <c r="I44" s="6" t="s">
        <v>23</v>
      </c>
      <c r="J44" s="6" t="s">
        <v>111</v>
      </c>
      <c r="K44" s="8" t="s">
        <v>25</v>
      </c>
      <c r="L44" s="7"/>
      <c r="M44" s="9" t="s">
        <v>26</v>
      </c>
      <c r="N44" s="7"/>
    </row>
    <row r="45" customFormat="false" ht="18" hidden="false" customHeight="true" outlineLevel="0" collapsed="false">
      <c r="A45" s="5" t="n">
        <v>42</v>
      </c>
      <c r="B45" s="10" t="s">
        <v>257</v>
      </c>
      <c r="C45" s="10" t="s">
        <v>258</v>
      </c>
      <c r="D45" s="10" t="s">
        <v>151</v>
      </c>
      <c r="E45" s="11" t="s">
        <v>69</v>
      </c>
      <c r="F45" s="11" t="s">
        <v>259</v>
      </c>
      <c r="G45" s="11" t="s">
        <v>260</v>
      </c>
      <c r="H45" s="10" t="s">
        <v>261</v>
      </c>
      <c r="I45" s="10" t="s">
        <v>23</v>
      </c>
      <c r="J45" s="10" t="s">
        <v>97</v>
      </c>
      <c r="K45" s="8" t="s">
        <v>25</v>
      </c>
      <c r="L45" s="11"/>
      <c r="M45" s="9" t="s">
        <v>26</v>
      </c>
      <c r="N45" s="11"/>
    </row>
    <row r="46" customFormat="false" ht="18" hidden="false" customHeight="true" outlineLevel="0" collapsed="false">
      <c r="A46" s="5" t="n">
        <v>43</v>
      </c>
      <c r="B46" s="6" t="s">
        <v>262</v>
      </c>
      <c r="C46" s="6" t="s">
        <v>263</v>
      </c>
      <c r="D46" s="6" t="s">
        <v>209</v>
      </c>
      <c r="E46" s="7" t="s">
        <v>47</v>
      </c>
      <c r="F46" s="7" t="s">
        <v>264</v>
      </c>
      <c r="G46" s="7" t="s">
        <v>265</v>
      </c>
      <c r="H46" s="6" t="s">
        <v>266</v>
      </c>
      <c r="I46" s="6" t="s">
        <v>23</v>
      </c>
      <c r="J46" s="6" t="s">
        <v>111</v>
      </c>
      <c r="K46" s="8" t="s">
        <v>25</v>
      </c>
      <c r="L46" s="7"/>
      <c r="M46" s="9" t="s">
        <v>26</v>
      </c>
      <c r="N46" s="7"/>
    </row>
    <row r="47" customFormat="false" ht="18" hidden="false" customHeight="true" outlineLevel="0" collapsed="false">
      <c r="A47" s="5" t="n">
        <v>44</v>
      </c>
      <c r="B47" s="10" t="s">
        <v>267</v>
      </c>
      <c r="C47" s="10" t="s">
        <v>268</v>
      </c>
      <c r="D47" s="10" t="s">
        <v>53</v>
      </c>
      <c r="E47" s="11" t="s">
        <v>82</v>
      </c>
      <c r="F47" s="11" t="s">
        <v>269</v>
      </c>
      <c r="G47" s="11" t="s">
        <v>270</v>
      </c>
      <c r="H47" s="10" t="s">
        <v>271</v>
      </c>
      <c r="I47" s="10" t="s">
        <v>23</v>
      </c>
      <c r="J47" s="10" t="s">
        <v>42</v>
      </c>
      <c r="K47" s="8" t="s">
        <v>25</v>
      </c>
      <c r="L47" s="11"/>
      <c r="M47" s="12" t="s">
        <v>43</v>
      </c>
      <c r="N47" s="11"/>
    </row>
    <row r="48" customFormat="false" ht="18" hidden="false" customHeight="true" outlineLevel="0" collapsed="false">
      <c r="A48" s="5" t="n">
        <v>45</v>
      </c>
      <c r="B48" s="6" t="s">
        <v>272</v>
      </c>
      <c r="C48" s="6" t="s">
        <v>273</v>
      </c>
      <c r="D48" s="6" t="s">
        <v>125</v>
      </c>
      <c r="E48" s="7" t="s">
        <v>183</v>
      </c>
      <c r="F48" s="7" t="s">
        <v>274</v>
      </c>
      <c r="G48" s="7" t="s">
        <v>275</v>
      </c>
      <c r="H48" s="6" t="s">
        <v>23</v>
      </c>
      <c r="I48" s="6" t="s">
        <v>23</v>
      </c>
      <c r="J48" s="6" t="s">
        <v>276</v>
      </c>
      <c r="K48" s="8" t="s">
        <v>25</v>
      </c>
      <c r="L48" s="7"/>
      <c r="M48" s="9" t="s">
        <v>26</v>
      </c>
      <c r="N48" s="7"/>
    </row>
    <row r="49" customFormat="false" ht="18" hidden="false" customHeight="true" outlineLevel="0" collapsed="false">
      <c r="A49" s="5" t="n">
        <v>46</v>
      </c>
      <c r="B49" s="10" t="s">
        <v>277</v>
      </c>
      <c r="C49" s="10" t="s">
        <v>278</v>
      </c>
      <c r="D49" s="10" t="s">
        <v>93</v>
      </c>
      <c r="E49" s="11" t="s">
        <v>69</v>
      </c>
      <c r="F49" s="11" t="s">
        <v>279</v>
      </c>
      <c r="G49" s="11" t="s">
        <v>280</v>
      </c>
      <c r="H49" s="10" t="s">
        <v>281</v>
      </c>
      <c r="I49" s="10" t="s">
        <v>23</v>
      </c>
      <c r="J49" s="10" t="s">
        <v>58</v>
      </c>
      <c r="K49" s="8" t="s">
        <v>25</v>
      </c>
      <c r="L49" s="11"/>
      <c r="M49" s="9" t="s">
        <v>26</v>
      </c>
      <c r="N49" s="11"/>
    </row>
    <row r="50" customFormat="false" ht="18" hidden="false" customHeight="true" outlineLevel="0" collapsed="false">
      <c r="A50" s="5" t="n">
        <v>47</v>
      </c>
      <c r="B50" s="6" t="s">
        <v>282</v>
      </c>
      <c r="C50" s="6" t="s">
        <v>283</v>
      </c>
      <c r="D50" s="6" t="s">
        <v>29</v>
      </c>
      <c r="E50" s="7" t="s">
        <v>82</v>
      </c>
      <c r="F50" s="7" t="s">
        <v>284</v>
      </c>
      <c r="G50" s="7" t="s">
        <v>285</v>
      </c>
      <c r="H50" s="6" t="s">
        <v>23</v>
      </c>
      <c r="I50" s="6" t="s">
        <v>23</v>
      </c>
      <c r="J50" s="6" t="s">
        <v>24</v>
      </c>
      <c r="K50" s="8" t="s">
        <v>25</v>
      </c>
      <c r="L50" s="7"/>
      <c r="M50" s="9" t="s">
        <v>26</v>
      </c>
      <c r="N50" s="7"/>
    </row>
    <row r="51" customFormat="false" ht="18" hidden="false" customHeight="true" outlineLevel="0" collapsed="false">
      <c r="A51" s="5" t="n">
        <v>48</v>
      </c>
      <c r="B51" s="10" t="s">
        <v>286</v>
      </c>
      <c r="C51" s="10" t="s">
        <v>287</v>
      </c>
      <c r="D51" s="10" t="s">
        <v>100</v>
      </c>
      <c r="E51" s="11" t="s">
        <v>47</v>
      </c>
      <c r="F51" s="11" t="s">
        <v>288</v>
      </c>
      <c r="G51" s="11" t="s">
        <v>289</v>
      </c>
      <c r="H51" s="10" t="s">
        <v>23</v>
      </c>
      <c r="I51" s="10" t="s">
        <v>23</v>
      </c>
      <c r="J51" s="10" t="s">
        <v>58</v>
      </c>
      <c r="K51" s="8" t="s">
        <v>25</v>
      </c>
      <c r="L51" s="11"/>
      <c r="M51" s="12" t="s">
        <v>43</v>
      </c>
      <c r="N51" s="11"/>
    </row>
    <row r="52" customFormat="false" ht="18" hidden="false" customHeight="true" outlineLevel="0" collapsed="false">
      <c r="A52" s="5" t="n">
        <v>49</v>
      </c>
      <c r="B52" s="6" t="s">
        <v>290</v>
      </c>
      <c r="C52" s="6" t="s">
        <v>291</v>
      </c>
      <c r="D52" s="6" t="s">
        <v>29</v>
      </c>
      <c r="E52" s="7" t="s">
        <v>38</v>
      </c>
      <c r="F52" s="7" t="s">
        <v>292</v>
      </c>
      <c r="G52" s="7" t="s">
        <v>293</v>
      </c>
      <c r="H52" s="6" t="s">
        <v>294</v>
      </c>
      <c r="I52" s="6" t="s">
        <v>23</v>
      </c>
      <c r="J52" s="6" t="s">
        <v>58</v>
      </c>
      <c r="K52" s="8" t="s">
        <v>25</v>
      </c>
      <c r="L52" s="7"/>
      <c r="M52" s="12" t="s">
        <v>43</v>
      </c>
      <c r="N52" s="7"/>
    </row>
    <row r="53" customFormat="false" ht="18" hidden="false" customHeight="true" outlineLevel="0" collapsed="false">
      <c r="A53" s="5" t="n">
        <v>50</v>
      </c>
      <c r="B53" s="10" t="s">
        <v>295</v>
      </c>
      <c r="C53" s="10" t="s">
        <v>296</v>
      </c>
      <c r="D53" s="10" t="s">
        <v>209</v>
      </c>
      <c r="E53" s="11" t="s">
        <v>75</v>
      </c>
      <c r="F53" s="11" t="s">
        <v>297</v>
      </c>
      <c r="G53" s="11" t="s">
        <v>298</v>
      </c>
      <c r="H53" s="10" t="s">
        <v>23</v>
      </c>
      <c r="I53" s="10" t="s">
        <v>23</v>
      </c>
      <c r="J53" s="10" t="s">
        <v>111</v>
      </c>
      <c r="K53" s="8" t="s">
        <v>25</v>
      </c>
      <c r="L53" s="11"/>
      <c r="M53" s="9" t="s">
        <v>26</v>
      </c>
      <c r="N53" s="11"/>
    </row>
    <row r="54" customFormat="false" ht="18" hidden="false" customHeight="true" outlineLevel="0" collapsed="false">
      <c r="A54" s="5" t="n">
        <v>51</v>
      </c>
      <c r="B54" s="6" t="s">
        <v>299</v>
      </c>
      <c r="C54" s="6" t="s">
        <v>300</v>
      </c>
      <c r="D54" s="6" t="s">
        <v>301</v>
      </c>
      <c r="E54" s="7" t="s">
        <v>69</v>
      </c>
      <c r="F54" s="7" t="s">
        <v>302</v>
      </c>
      <c r="G54" s="7" t="s">
        <v>303</v>
      </c>
      <c r="H54" s="6" t="s">
        <v>304</v>
      </c>
      <c r="I54" s="6" t="s">
        <v>23</v>
      </c>
      <c r="J54" s="6" t="s">
        <v>111</v>
      </c>
      <c r="K54" s="8" t="s">
        <v>25</v>
      </c>
      <c r="L54" s="7"/>
      <c r="M54" s="12" t="s">
        <v>43</v>
      </c>
      <c r="N54" s="7"/>
    </row>
    <row r="55" customFormat="false" ht="18" hidden="false" customHeight="true" outlineLevel="0" collapsed="false">
      <c r="A55" s="5" t="n">
        <v>52</v>
      </c>
      <c r="B55" s="10" t="s">
        <v>305</v>
      </c>
      <c r="C55" s="10" t="s">
        <v>306</v>
      </c>
      <c r="D55" s="10" t="s">
        <v>146</v>
      </c>
      <c r="E55" s="11" t="s">
        <v>20</v>
      </c>
      <c r="F55" s="11" t="s">
        <v>307</v>
      </c>
      <c r="G55" s="11" t="s">
        <v>308</v>
      </c>
      <c r="H55" s="10" t="s">
        <v>309</v>
      </c>
      <c r="I55" s="10" t="s">
        <v>23</v>
      </c>
      <c r="J55" s="10" t="s">
        <v>276</v>
      </c>
      <c r="K55" s="8" t="s">
        <v>25</v>
      </c>
      <c r="L55" s="11"/>
      <c r="M55" s="9" t="s">
        <v>26</v>
      </c>
      <c r="N55" s="11"/>
    </row>
    <row r="56" customFormat="false" ht="18" hidden="false" customHeight="true" outlineLevel="0" collapsed="false">
      <c r="A56" s="5" t="n">
        <v>53</v>
      </c>
      <c r="B56" s="6" t="s">
        <v>310</v>
      </c>
      <c r="C56" s="6" t="s">
        <v>311</v>
      </c>
      <c r="D56" s="6" t="s">
        <v>146</v>
      </c>
      <c r="E56" s="7" t="s">
        <v>47</v>
      </c>
      <c r="F56" s="7" t="s">
        <v>312</v>
      </c>
      <c r="G56" s="7" t="s">
        <v>313</v>
      </c>
      <c r="H56" s="6" t="s">
        <v>23</v>
      </c>
      <c r="I56" s="6" t="s">
        <v>23</v>
      </c>
      <c r="J56" s="6" t="s">
        <v>97</v>
      </c>
      <c r="K56" s="8" t="s">
        <v>25</v>
      </c>
      <c r="L56" s="7"/>
      <c r="M56" s="12" t="s">
        <v>43</v>
      </c>
      <c r="N56" s="7"/>
    </row>
    <row r="57" customFormat="false" ht="18" hidden="false" customHeight="true" outlineLevel="0" collapsed="false">
      <c r="A57" s="5" t="n">
        <v>54</v>
      </c>
      <c r="B57" s="10" t="s">
        <v>314</v>
      </c>
      <c r="C57" s="10" t="s">
        <v>315</v>
      </c>
      <c r="D57" s="10" t="s">
        <v>316</v>
      </c>
      <c r="E57" s="11" t="s">
        <v>30</v>
      </c>
      <c r="F57" s="11" t="s">
        <v>317</v>
      </c>
      <c r="G57" s="11" t="s">
        <v>318</v>
      </c>
      <c r="H57" s="10" t="s">
        <v>319</v>
      </c>
      <c r="I57" s="10" t="s">
        <v>23</v>
      </c>
      <c r="J57" s="10" t="s">
        <v>24</v>
      </c>
      <c r="K57" s="8" t="s">
        <v>25</v>
      </c>
      <c r="L57" s="11"/>
      <c r="M57" s="9" t="s">
        <v>26</v>
      </c>
      <c r="N57" s="11"/>
    </row>
    <row r="58" customFormat="false" ht="18" hidden="false" customHeight="true" outlineLevel="0" collapsed="false">
      <c r="A58" s="5" t="n">
        <v>55</v>
      </c>
      <c r="B58" s="6" t="s">
        <v>320</v>
      </c>
      <c r="C58" s="6" t="s">
        <v>321</v>
      </c>
      <c r="D58" s="6" t="s">
        <v>106</v>
      </c>
      <c r="E58" s="7" t="s">
        <v>152</v>
      </c>
      <c r="F58" s="7" t="s">
        <v>322</v>
      </c>
      <c r="G58" s="7" t="s">
        <v>323</v>
      </c>
      <c r="H58" s="6" t="s">
        <v>23</v>
      </c>
      <c r="I58" s="6" t="s">
        <v>23</v>
      </c>
      <c r="J58" s="6" t="s">
        <v>58</v>
      </c>
      <c r="K58" s="8" t="s">
        <v>25</v>
      </c>
      <c r="L58" s="7"/>
      <c r="M58" s="8" t="s">
        <v>59</v>
      </c>
      <c r="N58" s="7"/>
    </row>
    <row r="59" customFormat="false" ht="18" hidden="false" customHeight="true" outlineLevel="0" collapsed="false">
      <c r="A59" s="5" t="n">
        <v>56</v>
      </c>
      <c r="B59" s="10" t="s">
        <v>324</v>
      </c>
      <c r="C59" s="10" t="s">
        <v>325</v>
      </c>
      <c r="D59" s="10" t="s">
        <v>198</v>
      </c>
      <c r="E59" s="11" t="s">
        <v>326</v>
      </c>
      <c r="F59" s="11" t="s">
        <v>327</v>
      </c>
      <c r="G59" s="11" t="s">
        <v>328</v>
      </c>
      <c r="H59" s="10" t="s">
        <v>23</v>
      </c>
      <c r="I59" s="10" t="s">
        <v>23</v>
      </c>
      <c r="J59" s="10" t="s">
        <v>111</v>
      </c>
      <c r="K59" s="8" t="s">
        <v>25</v>
      </c>
      <c r="L59" s="11"/>
      <c r="M59" s="8" t="s">
        <v>59</v>
      </c>
      <c r="N59" s="11"/>
    </row>
    <row r="60" customFormat="false" ht="18" hidden="false" customHeight="true" outlineLevel="0" collapsed="false">
      <c r="A60" s="5" t="n">
        <v>57</v>
      </c>
      <c r="B60" s="6" t="s">
        <v>329</v>
      </c>
      <c r="C60" s="6" t="s">
        <v>330</v>
      </c>
      <c r="D60" s="6" t="s">
        <v>114</v>
      </c>
      <c r="E60" s="7" t="s">
        <v>183</v>
      </c>
      <c r="F60" s="7" t="s">
        <v>331</v>
      </c>
      <c r="G60" s="7" t="s">
        <v>332</v>
      </c>
      <c r="H60" s="6" t="s">
        <v>333</v>
      </c>
      <c r="I60" s="6" t="s">
        <v>23</v>
      </c>
      <c r="J60" s="6" t="s">
        <v>276</v>
      </c>
      <c r="K60" s="8" t="s">
        <v>25</v>
      </c>
      <c r="L60" s="7"/>
      <c r="M60" s="9" t="s">
        <v>26</v>
      </c>
      <c r="N60" s="7"/>
    </row>
    <row r="61" customFormat="false" ht="18" hidden="false" customHeight="true" outlineLevel="0" collapsed="false">
      <c r="A61" s="5" t="n">
        <v>58</v>
      </c>
      <c r="B61" s="10" t="s">
        <v>334</v>
      </c>
      <c r="C61" s="10" t="s">
        <v>335</v>
      </c>
      <c r="D61" s="10" t="s">
        <v>62</v>
      </c>
      <c r="E61" s="11" t="s">
        <v>152</v>
      </c>
      <c r="F61" s="11" t="s">
        <v>336</v>
      </c>
      <c r="G61" s="11" t="s">
        <v>337</v>
      </c>
      <c r="H61" s="10" t="s">
        <v>23</v>
      </c>
      <c r="I61" s="10" t="s">
        <v>23</v>
      </c>
      <c r="J61" s="10" t="s">
        <v>58</v>
      </c>
      <c r="K61" s="8" t="s">
        <v>25</v>
      </c>
      <c r="L61" s="11"/>
      <c r="M61" s="9" t="s">
        <v>26</v>
      </c>
      <c r="N61" s="11"/>
    </row>
    <row r="62" customFormat="false" ht="18" hidden="false" customHeight="true" outlineLevel="0" collapsed="false">
      <c r="A62" s="5" t="n">
        <v>59</v>
      </c>
      <c r="B62" s="6" t="s">
        <v>338</v>
      </c>
      <c r="C62" s="6" t="s">
        <v>339</v>
      </c>
      <c r="D62" s="6" t="s">
        <v>340</v>
      </c>
      <c r="E62" s="7" t="s">
        <v>63</v>
      </c>
      <c r="F62" s="7" t="s">
        <v>341</v>
      </c>
      <c r="G62" s="7" t="s">
        <v>342</v>
      </c>
      <c r="H62" s="6" t="s">
        <v>343</v>
      </c>
      <c r="I62" s="6" t="s">
        <v>23</v>
      </c>
      <c r="J62" s="6" t="s">
        <v>276</v>
      </c>
      <c r="K62" s="8" t="s">
        <v>25</v>
      </c>
      <c r="L62" s="7"/>
      <c r="M62" s="12" t="s">
        <v>43</v>
      </c>
      <c r="N62" s="7"/>
    </row>
    <row r="63" customFormat="false" ht="18" hidden="false" customHeight="true" outlineLevel="0" collapsed="false">
      <c r="A63" s="5" t="n">
        <v>60</v>
      </c>
      <c r="B63" s="10" t="s">
        <v>344</v>
      </c>
      <c r="C63" s="10" t="s">
        <v>345</v>
      </c>
      <c r="D63" s="10" t="s">
        <v>125</v>
      </c>
      <c r="E63" s="11" t="s">
        <v>54</v>
      </c>
      <c r="F63" s="11" t="s">
        <v>346</v>
      </c>
      <c r="G63" s="11" t="s">
        <v>347</v>
      </c>
      <c r="H63" s="10" t="s">
        <v>348</v>
      </c>
      <c r="I63" s="10" t="s">
        <v>23</v>
      </c>
      <c r="J63" s="10" t="s">
        <v>79</v>
      </c>
      <c r="K63" s="8" t="s">
        <v>25</v>
      </c>
      <c r="L63" s="11"/>
      <c r="M63" s="9" t="s">
        <v>26</v>
      </c>
      <c r="N63" s="11"/>
    </row>
    <row r="64" customFormat="false" ht="18" hidden="false" customHeight="true" outlineLevel="0" collapsed="false">
      <c r="A64" s="5" t="n">
        <v>61</v>
      </c>
      <c r="B64" s="6" t="s">
        <v>349</v>
      </c>
      <c r="C64" s="6" t="s">
        <v>350</v>
      </c>
      <c r="D64" s="6" t="s">
        <v>87</v>
      </c>
      <c r="E64" s="7" t="s">
        <v>69</v>
      </c>
      <c r="F64" s="7" t="s">
        <v>351</v>
      </c>
      <c r="G64" s="7" t="s">
        <v>352</v>
      </c>
      <c r="H64" s="6" t="s">
        <v>353</v>
      </c>
      <c r="I64" s="6" t="s">
        <v>23</v>
      </c>
      <c r="J64" s="6" t="s">
        <v>24</v>
      </c>
      <c r="K64" s="8" t="s">
        <v>25</v>
      </c>
      <c r="L64" s="7"/>
      <c r="M64" s="9" t="s">
        <v>26</v>
      </c>
      <c r="N64" s="7"/>
    </row>
    <row r="65" customFormat="false" ht="18" hidden="false" customHeight="true" outlineLevel="0" collapsed="false">
      <c r="A65" s="5" t="n">
        <v>62</v>
      </c>
      <c r="B65" s="10" t="s">
        <v>354</v>
      </c>
      <c r="C65" s="10" t="s">
        <v>355</v>
      </c>
      <c r="D65" s="10" t="s">
        <v>29</v>
      </c>
      <c r="E65" s="11" t="s">
        <v>158</v>
      </c>
      <c r="F65" s="11" t="s">
        <v>356</v>
      </c>
      <c r="G65" s="11" t="s">
        <v>357</v>
      </c>
      <c r="H65" s="10" t="s">
        <v>23</v>
      </c>
      <c r="I65" s="10" t="s">
        <v>23</v>
      </c>
      <c r="J65" s="10" t="s">
        <v>58</v>
      </c>
      <c r="K65" s="8" t="s">
        <v>25</v>
      </c>
      <c r="L65" s="11"/>
      <c r="M65" s="9" t="s">
        <v>26</v>
      </c>
      <c r="N65" s="11"/>
    </row>
    <row r="66" customFormat="false" ht="18" hidden="false" customHeight="true" outlineLevel="0" collapsed="false">
      <c r="A66" s="5" t="n">
        <v>63</v>
      </c>
      <c r="B66" s="6" t="s">
        <v>358</v>
      </c>
      <c r="C66" s="6" t="s">
        <v>359</v>
      </c>
      <c r="D66" s="6" t="s">
        <v>151</v>
      </c>
      <c r="E66" s="7" t="s">
        <v>69</v>
      </c>
      <c r="F66" s="7" t="s">
        <v>360</v>
      </c>
      <c r="G66" s="7" t="s">
        <v>361</v>
      </c>
      <c r="H66" s="6" t="s">
        <v>362</v>
      </c>
      <c r="I66" s="6" t="s">
        <v>23</v>
      </c>
      <c r="J66" s="6" t="s">
        <v>24</v>
      </c>
      <c r="K66" s="8" t="s">
        <v>25</v>
      </c>
      <c r="L66" s="7"/>
      <c r="M66" s="9" t="s">
        <v>26</v>
      </c>
      <c r="N66" s="7"/>
    </row>
    <row r="67" customFormat="false" ht="18" hidden="false" customHeight="true" outlineLevel="0" collapsed="false">
      <c r="A67" s="5" t="n">
        <v>64</v>
      </c>
      <c r="B67" s="10" t="s">
        <v>363</v>
      </c>
      <c r="C67" s="10" t="s">
        <v>364</v>
      </c>
      <c r="D67" s="10" t="s">
        <v>37</v>
      </c>
      <c r="E67" s="11" t="s">
        <v>189</v>
      </c>
      <c r="F67" s="11" t="s">
        <v>365</v>
      </c>
      <c r="G67" s="11" t="s">
        <v>366</v>
      </c>
      <c r="H67" s="10" t="s">
        <v>367</v>
      </c>
      <c r="I67" s="10" t="s">
        <v>23</v>
      </c>
      <c r="J67" s="10" t="s">
        <v>34</v>
      </c>
      <c r="K67" s="8" t="s">
        <v>25</v>
      </c>
      <c r="L67" s="11"/>
      <c r="M67" s="12" t="s">
        <v>43</v>
      </c>
      <c r="N67" s="11"/>
    </row>
    <row r="68" customFormat="false" ht="18" hidden="false" customHeight="true" outlineLevel="0" collapsed="false">
      <c r="A68" s="5" t="n">
        <v>65</v>
      </c>
      <c r="B68" s="6" t="s">
        <v>368</v>
      </c>
      <c r="C68" s="6" t="s">
        <v>369</v>
      </c>
      <c r="D68" s="6" t="s">
        <v>198</v>
      </c>
      <c r="E68" s="7" t="s">
        <v>158</v>
      </c>
      <c r="F68" s="7" t="s">
        <v>370</v>
      </c>
      <c r="G68" s="7" t="s">
        <v>371</v>
      </c>
      <c r="H68" s="6" t="s">
        <v>372</v>
      </c>
      <c r="I68" s="6" t="s">
        <v>23</v>
      </c>
      <c r="J68" s="6" t="s">
        <v>42</v>
      </c>
      <c r="K68" s="8" t="s">
        <v>25</v>
      </c>
      <c r="L68" s="7"/>
      <c r="M68" s="8" t="s">
        <v>59</v>
      </c>
      <c r="N68" s="7"/>
    </row>
    <row r="69" customFormat="false" ht="18" hidden="false" customHeight="true" outlineLevel="0" collapsed="false">
      <c r="A69" s="5" t="n">
        <v>66</v>
      </c>
      <c r="B69" s="10" t="s">
        <v>373</v>
      </c>
      <c r="C69" s="10" t="s">
        <v>374</v>
      </c>
      <c r="D69" s="10" t="s">
        <v>62</v>
      </c>
      <c r="E69" s="11" t="s">
        <v>63</v>
      </c>
      <c r="F69" s="11" t="s">
        <v>375</v>
      </c>
      <c r="G69" s="11" t="s">
        <v>376</v>
      </c>
      <c r="H69" s="10" t="s">
        <v>377</v>
      </c>
      <c r="I69" s="10" t="s">
        <v>23</v>
      </c>
      <c r="J69" s="10" t="s">
        <v>58</v>
      </c>
      <c r="K69" s="8" t="s">
        <v>25</v>
      </c>
      <c r="L69" s="11"/>
      <c r="M69" s="12" t="s">
        <v>43</v>
      </c>
      <c r="N69" s="11"/>
    </row>
    <row r="70" customFormat="false" ht="18" hidden="false" customHeight="true" outlineLevel="0" collapsed="false">
      <c r="A70" s="5" t="n">
        <v>67</v>
      </c>
      <c r="B70" s="6" t="s">
        <v>378</v>
      </c>
      <c r="C70" s="6" t="s">
        <v>379</v>
      </c>
      <c r="D70" s="6" t="s">
        <v>87</v>
      </c>
      <c r="E70" s="7" t="s">
        <v>183</v>
      </c>
      <c r="F70" s="7" t="s">
        <v>380</v>
      </c>
      <c r="G70" s="7" t="s">
        <v>381</v>
      </c>
      <c r="H70" s="6" t="s">
        <v>382</v>
      </c>
      <c r="I70" s="6" t="s">
        <v>23</v>
      </c>
      <c r="J70" s="6" t="s">
        <v>58</v>
      </c>
      <c r="K70" s="8" t="s">
        <v>25</v>
      </c>
      <c r="L70" s="7"/>
      <c r="M70" s="9" t="s">
        <v>26</v>
      </c>
      <c r="N70" s="7"/>
    </row>
    <row r="71" customFormat="false" ht="18" hidden="false" customHeight="true" outlineLevel="0" collapsed="false">
      <c r="A71" s="5" t="n">
        <v>68</v>
      </c>
      <c r="B71" s="10" t="s">
        <v>383</v>
      </c>
      <c r="C71" s="10" t="s">
        <v>384</v>
      </c>
      <c r="D71" s="10" t="s">
        <v>151</v>
      </c>
      <c r="E71" s="11" t="s">
        <v>107</v>
      </c>
      <c r="F71" s="11" t="s">
        <v>385</v>
      </c>
      <c r="G71" s="11" t="s">
        <v>386</v>
      </c>
      <c r="H71" s="10" t="s">
        <v>387</v>
      </c>
      <c r="I71" s="10" t="s">
        <v>23</v>
      </c>
      <c r="J71" s="10" t="s">
        <v>276</v>
      </c>
      <c r="K71" s="8" t="s">
        <v>25</v>
      </c>
      <c r="L71" s="11"/>
      <c r="M71" s="9" t="s">
        <v>26</v>
      </c>
      <c r="N71" s="11"/>
    </row>
    <row r="72" customFormat="false" ht="18" hidden="false" customHeight="true" outlineLevel="0" collapsed="false">
      <c r="A72" s="5" t="n">
        <v>69</v>
      </c>
      <c r="B72" s="6" t="s">
        <v>388</v>
      </c>
      <c r="C72" s="6" t="s">
        <v>389</v>
      </c>
      <c r="D72" s="6" t="s">
        <v>316</v>
      </c>
      <c r="E72" s="7" t="s">
        <v>152</v>
      </c>
      <c r="F72" s="7" t="s">
        <v>390</v>
      </c>
      <c r="G72" s="7" t="s">
        <v>391</v>
      </c>
      <c r="H72" s="6" t="s">
        <v>392</v>
      </c>
      <c r="I72" s="6" t="s">
        <v>23</v>
      </c>
      <c r="J72" s="6" t="s">
        <v>58</v>
      </c>
      <c r="K72" s="8" t="s">
        <v>25</v>
      </c>
      <c r="L72" s="7"/>
      <c r="M72" s="8" t="s">
        <v>59</v>
      </c>
      <c r="N72" s="7"/>
    </row>
    <row r="73" customFormat="false" ht="18" hidden="false" customHeight="true" outlineLevel="0" collapsed="false">
      <c r="A73" s="5" t="n">
        <v>70</v>
      </c>
      <c r="B73" s="10" t="s">
        <v>393</v>
      </c>
      <c r="C73" s="10" t="s">
        <v>394</v>
      </c>
      <c r="D73" s="10" t="s">
        <v>168</v>
      </c>
      <c r="E73" s="11" t="s">
        <v>69</v>
      </c>
      <c r="F73" s="11" t="s">
        <v>395</v>
      </c>
      <c r="G73" s="11" t="s">
        <v>396</v>
      </c>
      <c r="H73" s="10" t="s">
        <v>23</v>
      </c>
      <c r="I73" s="10" t="s">
        <v>23</v>
      </c>
      <c r="J73" s="10" t="s">
        <v>58</v>
      </c>
      <c r="K73" s="8" t="s">
        <v>25</v>
      </c>
      <c r="L73" s="11"/>
      <c r="M73" s="12" t="s">
        <v>43</v>
      </c>
      <c r="N73" s="11"/>
    </row>
    <row r="74" customFormat="false" ht="18" hidden="false" customHeight="true" outlineLevel="0" collapsed="false">
      <c r="A74" s="5" t="n">
        <v>71</v>
      </c>
      <c r="B74" s="6" t="s">
        <v>397</v>
      </c>
      <c r="C74" s="6" t="s">
        <v>398</v>
      </c>
      <c r="D74" s="6" t="s">
        <v>93</v>
      </c>
      <c r="E74" s="7" t="s">
        <v>47</v>
      </c>
      <c r="F74" s="7" t="s">
        <v>399</v>
      </c>
      <c r="G74" s="7" t="s">
        <v>400</v>
      </c>
      <c r="H74" s="6" t="s">
        <v>401</v>
      </c>
      <c r="I74" s="6" t="s">
        <v>23</v>
      </c>
      <c r="J74" s="6" t="s">
        <v>58</v>
      </c>
      <c r="K74" s="8" t="s">
        <v>25</v>
      </c>
      <c r="L74" s="7"/>
      <c r="M74" s="8" t="s">
        <v>59</v>
      </c>
      <c r="N74" s="7"/>
    </row>
    <row r="75" customFormat="false" ht="18" hidden="false" customHeight="true" outlineLevel="0" collapsed="false">
      <c r="A75" s="5" t="n">
        <v>72</v>
      </c>
      <c r="B75" s="10" t="s">
        <v>402</v>
      </c>
      <c r="C75" s="10" t="s">
        <v>403</v>
      </c>
      <c r="D75" s="10" t="s">
        <v>87</v>
      </c>
      <c r="E75" s="11" t="s">
        <v>158</v>
      </c>
      <c r="F75" s="11" t="s">
        <v>404</v>
      </c>
      <c r="G75" s="11" t="s">
        <v>405</v>
      </c>
      <c r="H75" s="10" t="s">
        <v>406</v>
      </c>
      <c r="I75" s="10" t="s">
        <v>23</v>
      </c>
      <c r="J75" s="10" t="s">
        <v>34</v>
      </c>
      <c r="K75" s="8" t="s">
        <v>25</v>
      </c>
      <c r="L75" s="11"/>
      <c r="M75" s="8" t="s">
        <v>59</v>
      </c>
      <c r="N75" s="11"/>
    </row>
    <row r="76" customFormat="false" ht="18" hidden="false" customHeight="true" outlineLevel="0" collapsed="false">
      <c r="A76" s="5" t="n">
        <v>73</v>
      </c>
      <c r="B76" s="6" t="s">
        <v>407</v>
      </c>
      <c r="C76" s="6" t="s">
        <v>408</v>
      </c>
      <c r="D76" s="6" t="s">
        <v>29</v>
      </c>
      <c r="E76" s="7" t="s">
        <v>54</v>
      </c>
      <c r="F76" s="7" t="s">
        <v>409</v>
      </c>
      <c r="G76" s="7" t="s">
        <v>410</v>
      </c>
      <c r="H76" s="6" t="s">
        <v>411</v>
      </c>
      <c r="I76" s="6" t="s">
        <v>23</v>
      </c>
      <c r="J76" s="6" t="s">
        <v>58</v>
      </c>
      <c r="K76" s="8" t="s">
        <v>25</v>
      </c>
      <c r="L76" s="7"/>
      <c r="M76" s="8" t="s">
        <v>59</v>
      </c>
      <c r="N76" s="7"/>
    </row>
    <row r="77" customFormat="false" ht="18" hidden="false" customHeight="true" outlineLevel="0" collapsed="false">
      <c r="A77" s="5" t="n">
        <v>74</v>
      </c>
      <c r="B77" s="10" t="s">
        <v>412</v>
      </c>
      <c r="C77" s="10" t="s">
        <v>413</v>
      </c>
      <c r="D77" s="10" t="s">
        <v>87</v>
      </c>
      <c r="E77" s="11" t="s">
        <v>69</v>
      </c>
      <c r="F77" s="11" t="s">
        <v>414</v>
      </c>
      <c r="G77" s="11" t="s">
        <v>415</v>
      </c>
      <c r="H77" s="10" t="s">
        <v>23</v>
      </c>
      <c r="I77" s="10" t="s">
        <v>23</v>
      </c>
      <c r="J77" s="10" t="s">
        <v>97</v>
      </c>
      <c r="K77" s="8" t="s">
        <v>25</v>
      </c>
      <c r="L77" s="11"/>
      <c r="M77" s="9" t="s">
        <v>26</v>
      </c>
      <c r="N77" s="11"/>
    </row>
    <row r="78" customFormat="false" ht="18" hidden="false" customHeight="true" outlineLevel="0" collapsed="false">
      <c r="A78" s="5" t="n">
        <v>75</v>
      </c>
      <c r="B78" s="6" t="s">
        <v>416</v>
      </c>
      <c r="C78" s="6" t="s">
        <v>417</v>
      </c>
      <c r="D78" s="6" t="s">
        <v>19</v>
      </c>
      <c r="E78" s="7" t="s">
        <v>152</v>
      </c>
      <c r="F78" s="7" t="s">
        <v>418</v>
      </c>
      <c r="G78" s="7" t="s">
        <v>419</v>
      </c>
      <c r="H78" s="6" t="s">
        <v>23</v>
      </c>
      <c r="I78" s="6" t="s">
        <v>23</v>
      </c>
      <c r="J78" s="6" t="s">
        <v>97</v>
      </c>
      <c r="K78" s="8" t="s">
        <v>25</v>
      </c>
      <c r="L78" s="7"/>
      <c r="M78" s="8" t="s">
        <v>59</v>
      </c>
      <c r="N78" s="7"/>
    </row>
    <row r="79" customFormat="false" ht="18" hidden="false" customHeight="true" outlineLevel="0" collapsed="false">
      <c r="A79" s="5" t="n">
        <v>76</v>
      </c>
      <c r="B79" s="10" t="s">
        <v>420</v>
      </c>
      <c r="C79" s="10" t="s">
        <v>421</v>
      </c>
      <c r="D79" s="10" t="s">
        <v>422</v>
      </c>
      <c r="E79" s="11" t="s">
        <v>20</v>
      </c>
      <c r="F79" s="11" t="s">
        <v>423</v>
      </c>
      <c r="G79" s="11" t="s">
        <v>424</v>
      </c>
      <c r="H79" s="10" t="s">
        <v>23</v>
      </c>
      <c r="I79" s="10" t="s">
        <v>23</v>
      </c>
      <c r="J79" s="10" t="s">
        <v>79</v>
      </c>
      <c r="K79" s="8" t="s">
        <v>25</v>
      </c>
      <c r="L79" s="11"/>
      <c r="M79" s="12" t="s">
        <v>43</v>
      </c>
      <c r="N79" s="11"/>
    </row>
    <row r="80" customFormat="false" ht="18" hidden="false" customHeight="true" outlineLevel="0" collapsed="false">
      <c r="A80" s="5" t="n">
        <v>77</v>
      </c>
      <c r="B80" s="6" t="s">
        <v>425</v>
      </c>
      <c r="C80" s="6" t="s">
        <v>426</v>
      </c>
      <c r="D80" s="6" t="s">
        <v>53</v>
      </c>
      <c r="E80" s="7" t="s">
        <v>152</v>
      </c>
      <c r="F80" s="7" t="s">
        <v>427</v>
      </c>
      <c r="G80" s="7" t="s">
        <v>428</v>
      </c>
      <c r="H80" s="6" t="s">
        <v>429</v>
      </c>
      <c r="I80" s="6" t="s">
        <v>23</v>
      </c>
      <c r="J80" s="6" t="s">
        <v>58</v>
      </c>
      <c r="K80" s="8" t="s">
        <v>25</v>
      </c>
      <c r="L80" s="7"/>
      <c r="M80" s="12" t="s">
        <v>43</v>
      </c>
      <c r="N80" s="7"/>
    </row>
    <row r="81" customFormat="false" ht="18" hidden="false" customHeight="true" outlineLevel="0" collapsed="false">
      <c r="A81" s="5" t="n">
        <v>78</v>
      </c>
      <c r="B81" s="10" t="s">
        <v>430</v>
      </c>
      <c r="C81" s="10" t="s">
        <v>431</v>
      </c>
      <c r="D81" s="10" t="s">
        <v>316</v>
      </c>
      <c r="E81" s="11" t="s">
        <v>69</v>
      </c>
      <c r="F81" s="11" t="s">
        <v>432</v>
      </c>
      <c r="G81" s="11" t="s">
        <v>433</v>
      </c>
      <c r="H81" s="10" t="s">
        <v>434</v>
      </c>
      <c r="I81" s="10" t="s">
        <v>23</v>
      </c>
      <c r="J81" s="10" t="s">
        <v>276</v>
      </c>
      <c r="K81" s="8" t="s">
        <v>25</v>
      </c>
      <c r="L81" s="11"/>
      <c r="M81" s="12" t="s">
        <v>43</v>
      </c>
      <c r="N81" s="11"/>
    </row>
    <row r="82" customFormat="false" ht="18" hidden="false" customHeight="true" outlineLevel="0" collapsed="false">
      <c r="A82" s="5" t="n">
        <v>79</v>
      </c>
      <c r="B82" s="6" t="s">
        <v>435</v>
      </c>
      <c r="C82" s="6" t="s">
        <v>436</v>
      </c>
      <c r="D82" s="6" t="s">
        <v>46</v>
      </c>
      <c r="E82" s="7" t="s">
        <v>47</v>
      </c>
      <c r="F82" s="7" t="s">
        <v>437</v>
      </c>
      <c r="G82" s="7" t="s">
        <v>438</v>
      </c>
      <c r="H82" s="6" t="s">
        <v>23</v>
      </c>
      <c r="I82" s="6" t="s">
        <v>23</v>
      </c>
      <c r="J82" s="6" t="s">
        <v>24</v>
      </c>
      <c r="K82" s="8" t="s">
        <v>25</v>
      </c>
      <c r="L82" s="7"/>
      <c r="M82" s="12" t="s">
        <v>43</v>
      </c>
      <c r="N82" s="7"/>
    </row>
    <row r="83" customFormat="false" ht="18" hidden="false" customHeight="true" outlineLevel="0" collapsed="false">
      <c r="A83" s="5" t="n">
        <v>80</v>
      </c>
      <c r="B83" s="10" t="s">
        <v>439</v>
      </c>
      <c r="C83" s="10" t="s">
        <v>440</v>
      </c>
      <c r="D83" s="10" t="s">
        <v>151</v>
      </c>
      <c r="E83" s="11" t="s">
        <v>183</v>
      </c>
      <c r="F83" s="11" t="s">
        <v>441</v>
      </c>
      <c r="G83" s="11" t="s">
        <v>442</v>
      </c>
      <c r="H83" s="10" t="s">
        <v>443</v>
      </c>
      <c r="I83" s="10" t="s">
        <v>23</v>
      </c>
      <c r="J83" s="10" t="s">
        <v>111</v>
      </c>
      <c r="K83" s="8" t="s">
        <v>25</v>
      </c>
      <c r="L83" s="11"/>
      <c r="M83" s="12" t="s">
        <v>43</v>
      </c>
      <c r="N83" s="11"/>
    </row>
    <row r="84" customFormat="false" ht="18" hidden="false" customHeight="true" outlineLevel="0" collapsed="false">
      <c r="A84" s="5" t="n">
        <v>81</v>
      </c>
      <c r="B84" s="6" t="s">
        <v>444</v>
      </c>
      <c r="C84" s="6" t="s">
        <v>445</v>
      </c>
      <c r="D84" s="6" t="s">
        <v>106</v>
      </c>
      <c r="E84" s="7" t="s">
        <v>47</v>
      </c>
      <c r="F84" s="7" t="s">
        <v>446</v>
      </c>
      <c r="G84" s="7" t="s">
        <v>447</v>
      </c>
      <c r="H84" s="6" t="s">
        <v>448</v>
      </c>
      <c r="I84" s="6" t="s">
        <v>23</v>
      </c>
      <c r="J84" s="6" t="s">
        <v>34</v>
      </c>
      <c r="K84" s="8" t="s">
        <v>25</v>
      </c>
      <c r="L84" s="7"/>
      <c r="M84" s="9" t="s">
        <v>26</v>
      </c>
      <c r="N84" s="7"/>
    </row>
    <row r="85" customFormat="false" ht="18" hidden="false" customHeight="true" outlineLevel="0" collapsed="false">
      <c r="A85" s="5" t="n">
        <v>82</v>
      </c>
      <c r="B85" s="10" t="s">
        <v>449</v>
      </c>
      <c r="C85" s="10" t="s">
        <v>450</v>
      </c>
      <c r="D85" s="10" t="s">
        <v>198</v>
      </c>
      <c r="E85" s="11" t="s">
        <v>107</v>
      </c>
      <c r="F85" s="11" t="s">
        <v>451</v>
      </c>
      <c r="G85" s="11" t="s">
        <v>452</v>
      </c>
      <c r="H85" s="10" t="s">
        <v>453</v>
      </c>
      <c r="I85" s="10" t="s">
        <v>23</v>
      </c>
      <c r="J85" s="10" t="s">
        <v>97</v>
      </c>
      <c r="K85" s="8" t="s">
        <v>25</v>
      </c>
      <c r="L85" s="11"/>
      <c r="M85" s="9" t="s">
        <v>26</v>
      </c>
      <c r="N85" s="11"/>
    </row>
    <row r="86" customFormat="false" ht="18" hidden="false" customHeight="true" outlineLevel="0" collapsed="false">
      <c r="A86" s="5" t="n">
        <v>83</v>
      </c>
      <c r="B86" s="6" t="s">
        <v>454</v>
      </c>
      <c r="C86" s="6" t="s">
        <v>455</v>
      </c>
      <c r="D86" s="6" t="s">
        <v>254</v>
      </c>
      <c r="E86" s="7" t="s">
        <v>38</v>
      </c>
      <c r="F86" s="7" t="s">
        <v>456</v>
      </c>
      <c r="G86" s="7" t="s">
        <v>457</v>
      </c>
      <c r="H86" s="6" t="s">
        <v>458</v>
      </c>
      <c r="I86" s="6" t="s">
        <v>23</v>
      </c>
      <c r="J86" s="6" t="s">
        <v>79</v>
      </c>
      <c r="K86" s="8" t="s">
        <v>25</v>
      </c>
      <c r="L86" s="7"/>
      <c r="M86" s="9" t="s">
        <v>26</v>
      </c>
      <c r="N86" s="7"/>
    </row>
    <row r="87" customFormat="false" ht="18" hidden="false" customHeight="true" outlineLevel="0" collapsed="false">
      <c r="A87" s="5" t="n">
        <v>84</v>
      </c>
      <c r="B87" s="10" t="s">
        <v>459</v>
      </c>
      <c r="C87" s="10" t="s">
        <v>460</v>
      </c>
      <c r="D87" s="10" t="s">
        <v>461</v>
      </c>
      <c r="E87" s="11" t="s">
        <v>189</v>
      </c>
      <c r="F87" s="11" t="s">
        <v>462</v>
      </c>
      <c r="G87" s="11" t="s">
        <v>463</v>
      </c>
      <c r="H87" s="10" t="s">
        <v>464</v>
      </c>
      <c r="I87" s="10" t="s">
        <v>23</v>
      </c>
      <c r="J87" s="10" t="s">
        <v>42</v>
      </c>
      <c r="K87" s="8" t="s">
        <v>25</v>
      </c>
      <c r="L87" s="11"/>
      <c r="M87" s="9" t="s">
        <v>26</v>
      </c>
      <c r="N87" s="11"/>
    </row>
    <row r="88" customFormat="false" ht="18" hidden="false" customHeight="true" outlineLevel="0" collapsed="false">
      <c r="A88" s="5" t="n">
        <v>85</v>
      </c>
      <c r="B88" s="6" t="s">
        <v>465</v>
      </c>
      <c r="C88" s="6" t="s">
        <v>466</v>
      </c>
      <c r="D88" s="6" t="s">
        <v>135</v>
      </c>
      <c r="E88" s="7" t="s">
        <v>38</v>
      </c>
      <c r="F88" s="7" t="s">
        <v>467</v>
      </c>
      <c r="G88" s="7" t="s">
        <v>468</v>
      </c>
      <c r="H88" s="6" t="s">
        <v>23</v>
      </c>
      <c r="I88" s="6" t="s">
        <v>23</v>
      </c>
      <c r="J88" s="6" t="s">
        <v>34</v>
      </c>
      <c r="K88" s="8" t="s">
        <v>25</v>
      </c>
      <c r="L88" s="7"/>
      <c r="M88" s="12" t="s">
        <v>43</v>
      </c>
      <c r="N88" s="7"/>
    </row>
    <row r="89" customFormat="false" ht="18" hidden="false" customHeight="true" outlineLevel="0" collapsed="false">
      <c r="A89" s="5" t="n">
        <v>86</v>
      </c>
      <c r="B89" s="10" t="s">
        <v>469</v>
      </c>
      <c r="C89" s="10" t="s">
        <v>470</v>
      </c>
      <c r="D89" s="10" t="s">
        <v>125</v>
      </c>
      <c r="E89" s="11" t="s">
        <v>326</v>
      </c>
      <c r="F89" s="11" t="s">
        <v>471</v>
      </c>
      <c r="G89" s="11" t="s">
        <v>472</v>
      </c>
      <c r="H89" s="10" t="s">
        <v>23</v>
      </c>
      <c r="I89" s="10" t="s">
        <v>23</v>
      </c>
      <c r="J89" s="10" t="s">
        <v>79</v>
      </c>
      <c r="K89" s="8" t="s">
        <v>25</v>
      </c>
      <c r="L89" s="11"/>
      <c r="M89" s="12" t="s">
        <v>43</v>
      </c>
      <c r="N89" s="11"/>
    </row>
    <row r="90" customFormat="false" ht="18" hidden="false" customHeight="true" outlineLevel="0" collapsed="false">
      <c r="A90" s="5" t="n">
        <v>87</v>
      </c>
      <c r="B90" s="6" t="s">
        <v>473</v>
      </c>
      <c r="C90" s="6" t="s">
        <v>474</v>
      </c>
      <c r="D90" s="6" t="s">
        <v>301</v>
      </c>
      <c r="E90" s="7" t="s">
        <v>107</v>
      </c>
      <c r="F90" s="7" t="s">
        <v>475</v>
      </c>
      <c r="G90" s="7" t="s">
        <v>476</v>
      </c>
      <c r="H90" s="6" t="s">
        <v>477</v>
      </c>
      <c r="I90" s="6" t="s">
        <v>23</v>
      </c>
      <c r="J90" s="6" t="s">
        <v>79</v>
      </c>
      <c r="K90" s="8" t="s">
        <v>25</v>
      </c>
      <c r="L90" s="7"/>
      <c r="M90" s="12" t="s">
        <v>43</v>
      </c>
      <c r="N90" s="7"/>
    </row>
    <row r="91" customFormat="false" ht="18" hidden="false" customHeight="true" outlineLevel="0" collapsed="false">
      <c r="A91" s="5" t="n">
        <v>88</v>
      </c>
      <c r="B91" s="10" t="s">
        <v>478</v>
      </c>
      <c r="C91" s="10" t="s">
        <v>479</v>
      </c>
      <c r="D91" s="10" t="s">
        <v>182</v>
      </c>
      <c r="E91" s="11" t="s">
        <v>20</v>
      </c>
      <c r="F91" s="11" t="s">
        <v>480</v>
      </c>
      <c r="G91" s="11" t="s">
        <v>481</v>
      </c>
      <c r="H91" s="10" t="s">
        <v>23</v>
      </c>
      <c r="I91" s="10" t="s">
        <v>23</v>
      </c>
      <c r="J91" s="10" t="s">
        <v>111</v>
      </c>
      <c r="K91" s="8" t="s">
        <v>25</v>
      </c>
      <c r="L91" s="11"/>
      <c r="M91" s="12" t="s">
        <v>43</v>
      </c>
      <c r="N91" s="11"/>
    </row>
    <row r="92" customFormat="false" ht="18" hidden="false" customHeight="true" outlineLevel="0" collapsed="false">
      <c r="A92" s="5" t="n">
        <v>89</v>
      </c>
      <c r="B92" s="6" t="s">
        <v>482</v>
      </c>
      <c r="C92" s="6" t="s">
        <v>483</v>
      </c>
      <c r="D92" s="6" t="s">
        <v>135</v>
      </c>
      <c r="E92" s="7" t="s">
        <v>69</v>
      </c>
      <c r="F92" s="7" t="s">
        <v>484</v>
      </c>
      <c r="G92" s="7" t="s">
        <v>485</v>
      </c>
      <c r="H92" s="6" t="s">
        <v>23</v>
      </c>
      <c r="I92" s="6" t="s">
        <v>23</v>
      </c>
      <c r="J92" s="6" t="s">
        <v>111</v>
      </c>
      <c r="K92" s="8" t="s">
        <v>25</v>
      </c>
      <c r="L92" s="7"/>
      <c r="M92" s="8" t="s">
        <v>59</v>
      </c>
      <c r="N92" s="7"/>
    </row>
    <row r="93" customFormat="false" ht="18" hidden="false" customHeight="true" outlineLevel="0" collapsed="false">
      <c r="A93" s="5" t="n">
        <v>90</v>
      </c>
      <c r="B93" s="10" t="s">
        <v>486</v>
      </c>
      <c r="C93" s="10" t="s">
        <v>487</v>
      </c>
      <c r="D93" s="10" t="s">
        <v>316</v>
      </c>
      <c r="E93" s="11" t="s">
        <v>152</v>
      </c>
      <c r="F93" s="11" t="s">
        <v>488</v>
      </c>
      <c r="G93" s="11" t="s">
        <v>489</v>
      </c>
      <c r="H93" s="10" t="s">
        <v>490</v>
      </c>
      <c r="I93" s="10" t="s">
        <v>23</v>
      </c>
      <c r="J93" s="10" t="s">
        <v>58</v>
      </c>
      <c r="K93" s="8" t="s">
        <v>25</v>
      </c>
      <c r="L93" s="11"/>
      <c r="M93" s="8" t="s">
        <v>59</v>
      </c>
      <c r="N93" s="11"/>
    </row>
    <row r="94" customFormat="false" ht="18" hidden="false" customHeight="true" outlineLevel="0" collapsed="false">
      <c r="A94" s="5" t="n">
        <v>91</v>
      </c>
      <c r="B94" s="6" t="s">
        <v>491</v>
      </c>
      <c r="C94" s="6" t="s">
        <v>492</v>
      </c>
      <c r="D94" s="6" t="s">
        <v>100</v>
      </c>
      <c r="E94" s="7" t="s">
        <v>20</v>
      </c>
      <c r="F94" s="7" t="s">
        <v>493</v>
      </c>
      <c r="G94" s="7" t="s">
        <v>494</v>
      </c>
      <c r="H94" s="6" t="s">
        <v>495</v>
      </c>
      <c r="I94" s="6" t="s">
        <v>23</v>
      </c>
      <c r="J94" s="6" t="s">
        <v>58</v>
      </c>
      <c r="K94" s="8" t="s">
        <v>25</v>
      </c>
      <c r="L94" s="7"/>
      <c r="M94" s="9" t="s">
        <v>26</v>
      </c>
      <c r="N94" s="7"/>
    </row>
    <row r="95" customFormat="false" ht="18" hidden="false" customHeight="true" outlineLevel="0" collapsed="false">
      <c r="A95" s="5" t="n">
        <v>92</v>
      </c>
      <c r="B95" s="10" t="s">
        <v>496</v>
      </c>
      <c r="C95" s="10" t="s">
        <v>497</v>
      </c>
      <c r="D95" s="10" t="s">
        <v>301</v>
      </c>
      <c r="E95" s="11" t="s">
        <v>30</v>
      </c>
      <c r="F95" s="11" t="s">
        <v>498</v>
      </c>
      <c r="G95" s="11" t="s">
        <v>499</v>
      </c>
      <c r="H95" s="10" t="s">
        <v>500</v>
      </c>
      <c r="I95" s="10" t="s">
        <v>23</v>
      </c>
      <c r="J95" s="10" t="s">
        <v>111</v>
      </c>
      <c r="K95" s="8" t="s">
        <v>25</v>
      </c>
      <c r="L95" s="11"/>
      <c r="M95" s="9" t="s">
        <v>26</v>
      </c>
      <c r="N95" s="11"/>
    </row>
    <row r="96" customFormat="false" ht="18" hidden="false" customHeight="true" outlineLevel="0" collapsed="false">
      <c r="A96" s="5" t="n">
        <v>93</v>
      </c>
      <c r="B96" s="6" t="s">
        <v>501</v>
      </c>
      <c r="C96" s="6" t="s">
        <v>502</v>
      </c>
      <c r="D96" s="6" t="s">
        <v>254</v>
      </c>
      <c r="E96" s="7" t="s">
        <v>63</v>
      </c>
      <c r="F96" s="7" t="s">
        <v>503</v>
      </c>
      <c r="G96" s="7" t="s">
        <v>504</v>
      </c>
      <c r="H96" s="6" t="s">
        <v>505</v>
      </c>
      <c r="I96" s="6" t="s">
        <v>23</v>
      </c>
      <c r="J96" s="6" t="s">
        <v>506</v>
      </c>
      <c r="K96" s="8" t="s">
        <v>25</v>
      </c>
      <c r="L96" s="7"/>
      <c r="M96" s="9" t="s">
        <v>26</v>
      </c>
      <c r="N96" s="7"/>
    </row>
    <row r="97" customFormat="false" ht="18" hidden="false" customHeight="true" outlineLevel="0" collapsed="false">
      <c r="A97" s="5" t="n">
        <v>94</v>
      </c>
      <c r="B97" s="10" t="s">
        <v>507</v>
      </c>
      <c r="C97" s="10" t="s">
        <v>508</v>
      </c>
      <c r="D97" s="10" t="s">
        <v>422</v>
      </c>
      <c r="E97" s="11" t="s">
        <v>158</v>
      </c>
      <c r="F97" s="11" t="s">
        <v>509</v>
      </c>
      <c r="G97" s="11" t="s">
        <v>510</v>
      </c>
      <c r="H97" s="10" t="s">
        <v>511</v>
      </c>
      <c r="I97" s="10" t="s">
        <v>23</v>
      </c>
      <c r="J97" s="10" t="s">
        <v>34</v>
      </c>
      <c r="K97" s="8" t="s">
        <v>25</v>
      </c>
      <c r="L97" s="11"/>
      <c r="M97" s="12" t="s">
        <v>43</v>
      </c>
      <c r="N97" s="11"/>
    </row>
    <row r="98" customFormat="false" ht="18" hidden="false" customHeight="true" outlineLevel="0" collapsed="false">
      <c r="A98" s="5" t="n">
        <v>95</v>
      </c>
      <c r="B98" s="6" t="s">
        <v>512</v>
      </c>
      <c r="C98" s="6" t="s">
        <v>440</v>
      </c>
      <c r="D98" s="6" t="s">
        <v>182</v>
      </c>
      <c r="E98" s="7" t="s">
        <v>82</v>
      </c>
      <c r="F98" s="7" t="s">
        <v>513</v>
      </c>
      <c r="G98" s="7" t="s">
        <v>514</v>
      </c>
      <c r="H98" s="6" t="s">
        <v>23</v>
      </c>
      <c r="I98" s="6" t="s">
        <v>23</v>
      </c>
      <c r="J98" s="6" t="s">
        <v>24</v>
      </c>
      <c r="K98" s="8" t="s">
        <v>25</v>
      </c>
      <c r="L98" s="7"/>
      <c r="M98" s="12" t="s">
        <v>43</v>
      </c>
      <c r="N98" s="7"/>
    </row>
    <row r="99" customFormat="false" ht="18" hidden="false" customHeight="true" outlineLevel="0" collapsed="false">
      <c r="A99" s="5" t="n">
        <v>96</v>
      </c>
      <c r="B99" s="10" t="s">
        <v>515</v>
      </c>
      <c r="C99" s="10" t="s">
        <v>516</v>
      </c>
      <c r="D99" s="10" t="s">
        <v>37</v>
      </c>
      <c r="E99" s="11" t="s">
        <v>152</v>
      </c>
      <c r="F99" s="11" t="s">
        <v>517</v>
      </c>
      <c r="G99" s="11" t="s">
        <v>518</v>
      </c>
      <c r="H99" s="10" t="s">
        <v>23</v>
      </c>
      <c r="I99" s="10" t="s">
        <v>23</v>
      </c>
      <c r="J99" s="10" t="s">
        <v>97</v>
      </c>
      <c r="K99" s="8" t="s">
        <v>25</v>
      </c>
      <c r="L99" s="11"/>
      <c r="M99" s="9" t="s">
        <v>26</v>
      </c>
      <c r="N99" s="11"/>
    </row>
    <row r="100" customFormat="false" ht="18" hidden="false" customHeight="true" outlineLevel="0" collapsed="false">
      <c r="A100" s="5" t="n">
        <v>97</v>
      </c>
      <c r="B100" s="6" t="s">
        <v>519</v>
      </c>
      <c r="C100" s="6" t="s">
        <v>520</v>
      </c>
      <c r="D100" s="6" t="s">
        <v>209</v>
      </c>
      <c r="E100" s="7" t="s">
        <v>183</v>
      </c>
      <c r="F100" s="7" t="s">
        <v>521</v>
      </c>
      <c r="G100" s="7" t="s">
        <v>522</v>
      </c>
      <c r="H100" s="6" t="s">
        <v>23</v>
      </c>
      <c r="I100" s="6" t="s">
        <v>23</v>
      </c>
      <c r="J100" s="6" t="s">
        <v>58</v>
      </c>
      <c r="K100" s="8" t="s">
        <v>25</v>
      </c>
      <c r="L100" s="7"/>
      <c r="M100" s="12" t="s">
        <v>43</v>
      </c>
      <c r="N100" s="7"/>
    </row>
    <row r="101" customFormat="false" ht="18" hidden="false" customHeight="true" outlineLevel="0" collapsed="false">
      <c r="A101" s="5" t="n">
        <v>98</v>
      </c>
      <c r="B101" s="10" t="s">
        <v>523</v>
      </c>
      <c r="C101" s="10" t="s">
        <v>524</v>
      </c>
      <c r="D101" s="10" t="s">
        <v>461</v>
      </c>
      <c r="E101" s="11" t="s">
        <v>326</v>
      </c>
      <c r="F101" s="11" t="s">
        <v>525</v>
      </c>
      <c r="G101" s="11" t="s">
        <v>526</v>
      </c>
      <c r="H101" s="10" t="s">
        <v>527</v>
      </c>
      <c r="I101" s="10" t="s">
        <v>23</v>
      </c>
      <c r="J101" s="10" t="s">
        <v>506</v>
      </c>
      <c r="K101" s="8" t="s">
        <v>25</v>
      </c>
      <c r="L101" s="11"/>
      <c r="M101" s="12" t="s">
        <v>43</v>
      </c>
      <c r="N101" s="11"/>
    </row>
    <row r="102" customFormat="false" ht="18" hidden="false" customHeight="true" outlineLevel="0" collapsed="false">
      <c r="A102" s="5" t="n">
        <v>99</v>
      </c>
      <c r="B102" s="6" t="s">
        <v>528</v>
      </c>
      <c r="C102" s="6" t="s">
        <v>105</v>
      </c>
      <c r="D102" s="6" t="s">
        <v>62</v>
      </c>
      <c r="E102" s="7" t="s">
        <v>30</v>
      </c>
      <c r="F102" s="7" t="s">
        <v>529</v>
      </c>
      <c r="G102" s="7" t="s">
        <v>530</v>
      </c>
      <c r="H102" s="6" t="s">
        <v>531</v>
      </c>
      <c r="I102" s="6" t="s">
        <v>23</v>
      </c>
      <c r="J102" s="6" t="s">
        <v>58</v>
      </c>
      <c r="K102" s="8" t="s">
        <v>25</v>
      </c>
      <c r="L102" s="7"/>
      <c r="M102" s="9" t="s">
        <v>26</v>
      </c>
      <c r="N102" s="7"/>
    </row>
    <row r="103" customFormat="false" ht="18" hidden="false" customHeight="true" outlineLevel="0" collapsed="false">
      <c r="A103" s="5" t="n">
        <v>100</v>
      </c>
      <c r="B103" s="10" t="s">
        <v>532</v>
      </c>
      <c r="C103" s="10" t="s">
        <v>533</v>
      </c>
      <c r="D103" s="10" t="s">
        <v>62</v>
      </c>
      <c r="E103" s="11" t="s">
        <v>152</v>
      </c>
      <c r="F103" s="11" t="s">
        <v>534</v>
      </c>
      <c r="G103" s="11" t="s">
        <v>535</v>
      </c>
      <c r="H103" s="10" t="s">
        <v>23</v>
      </c>
      <c r="I103" s="10" t="s">
        <v>23</v>
      </c>
      <c r="J103" s="10" t="s">
        <v>506</v>
      </c>
      <c r="K103" s="8" t="s">
        <v>25</v>
      </c>
      <c r="L103" s="11"/>
      <c r="M103" s="9" t="s">
        <v>26</v>
      </c>
      <c r="N103" s="11"/>
    </row>
    <row r="104" customFormat="false" ht="18" hidden="false" customHeight="true" outlineLevel="0" collapsed="false">
      <c r="A104" s="5" t="n">
        <v>101</v>
      </c>
      <c r="B104" s="6" t="s">
        <v>536</v>
      </c>
      <c r="C104" s="6" t="s">
        <v>537</v>
      </c>
      <c r="D104" s="6" t="s">
        <v>100</v>
      </c>
      <c r="E104" s="7" t="s">
        <v>54</v>
      </c>
      <c r="F104" s="7" t="s">
        <v>538</v>
      </c>
      <c r="G104" s="7" t="s">
        <v>539</v>
      </c>
      <c r="H104" s="6" t="s">
        <v>540</v>
      </c>
      <c r="I104" s="6" t="s">
        <v>23</v>
      </c>
      <c r="J104" s="6" t="s">
        <v>79</v>
      </c>
      <c r="K104" s="8" t="s">
        <v>25</v>
      </c>
      <c r="L104" s="7"/>
      <c r="M104" s="12" t="s">
        <v>43</v>
      </c>
      <c r="N104" s="7"/>
    </row>
    <row r="105" customFormat="false" ht="18" hidden="false" customHeight="true" outlineLevel="0" collapsed="false">
      <c r="A105" s="5" t="n">
        <v>102</v>
      </c>
      <c r="B105" s="10" t="s">
        <v>541</v>
      </c>
      <c r="C105" s="10" t="s">
        <v>542</v>
      </c>
      <c r="D105" s="10" t="s">
        <v>53</v>
      </c>
      <c r="E105" s="11" t="s">
        <v>75</v>
      </c>
      <c r="F105" s="11" t="s">
        <v>543</v>
      </c>
      <c r="G105" s="11" t="s">
        <v>544</v>
      </c>
      <c r="H105" s="10" t="s">
        <v>23</v>
      </c>
      <c r="I105" s="10" t="s">
        <v>23</v>
      </c>
      <c r="J105" s="10" t="s">
        <v>97</v>
      </c>
      <c r="K105" s="8" t="s">
        <v>25</v>
      </c>
      <c r="L105" s="11"/>
      <c r="M105" s="9" t="s">
        <v>26</v>
      </c>
      <c r="N105" s="11"/>
    </row>
    <row r="106" customFormat="false" ht="18" hidden="false" customHeight="true" outlineLevel="0" collapsed="false">
      <c r="A106" s="5" t="n">
        <v>103</v>
      </c>
      <c r="B106" s="6" t="s">
        <v>545</v>
      </c>
      <c r="C106" s="6" t="s">
        <v>546</v>
      </c>
      <c r="D106" s="6" t="s">
        <v>62</v>
      </c>
      <c r="E106" s="7" t="s">
        <v>158</v>
      </c>
      <c r="F106" s="7" t="s">
        <v>547</v>
      </c>
      <c r="G106" s="7" t="s">
        <v>548</v>
      </c>
      <c r="H106" s="6" t="s">
        <v>23</v>
      </c>
      <c r="I106" s="6" t="s">
        <v>23</v>
      </c>
      <c r="J106" s="6" t="s">
        <v>34</v>
      </c>
      <c r="K106" s="8" t="s">
        <v>25</v>
      </c>
      <c r="L106" s="7"/>
      <c r="M106" s="8" t="s">
        <v>59</v>
      </c>
      <c r="N106" s="7"/>
    </row>
    <row r="107" customFormat="false" ht="18" hidden="false" customHeight="true" outlineLevel="0" collapsed="false">
      <c r="A107" s="5" t="n">
        <v>104</v>
      </c>
      <c r="B107" s="10" t="s">
        <v>549</v>
      </c>
      <c r="C107" s="10" t="s">
        <v>550</v>
      </c>
      <c r="D107" s="10" t="s">
        <v>461</v>
      </c>
      <c r="E107" s="11" t="s">
        <v>20</v>
      </c>
      <c r="F107" s="11" t="s">
        <v>551</v>
      </c>
      <c r="G107" s="11" t="s">
        <v>552</v>
      </c>
      <c r="H107" s="10" t="s">
        <v>553</v>
      </c>
      <c r="I107" s="10" t="s">
        <v>23</v>
      </c>
      <c r="J107" s="10" t="s">
        <v>276</v>
      </c>
      <c r="K107" s="8" t="s">
        <v>25</v>
      </c>
      <c r="L107" s="11"/>
      <c r="M107" s="9" t="s">
        <v>26</v>
      </c>
      <c r="N107" s="11"/>
    </row>
    <row r="108" customFormat="false" ht="18" hidden="false" customHeight="true" outlineLevel="0" collapsed="false">
      <c r="A108" s="5" t="n">
        <v>105</v>
      </c>
      <c r="B108" s="6" t="s">
        <v>554</v>
      </c>
      <c r="C108" s="6" t="s">
        <v>555</v>
      </c>
      <c r="D108" s="6" t="s">
        <v>340</v>
      </c>
      <c r="E108" s="7" t="s">
        <v>326</v>
      </c>
      <c r="F108" s="7" t="s">
        <v>556</v>
      </c>
      <c r="G108" s="7" t="s">
        <v>557</v>
      </c>
      <c r="H108" s="6" t="s">
        <v>558</v>
      </c>
      <c r="I108" s="6" t="s">
        <v>23</v>
      </c>
      <c r="J108" s="6" t="s">
        <v>97</v>
      </c>
      <c r="K108" s="8" t="s">
        <v>25</v>
      </c>
      <c r="L108" s="7"/>
      <c r="M108" s="8" t="s">
        <v>59</v>
      </c>
      <c r="N108" s="7"/>
    </row>
    <row r="109" customFormat="false" ht="18" hidden="false" customHeight="true" outlineLevel="0" collapsed="false">
      <c r="A109" s="5" t="n">
        <v>106</v>
      </c>
      <c r="B109" s="10" t="s">
        <v>559</v>
      </c>
      <c r="C109" s="10" t="s">
        <v>560</v>
      </c>
      <c r="D109" s="10" t="s">
        <v>254</v>
      </c>
      <c r="E109" s="11" t="s">
        <v>183</v>
      </c>
      <c r="F109" s="11" t="s">
        <v>561</v>
      </c>
      <c r="G109" s="11" t="s">
        <v>562</v>
      </c>
      <c r="H109" s="10" t="s">
        <v>563</v>
      </c>
      <c r="I109" s="10" t="s">
        <v>23</v>
      </c>
      <c r="J109" s="10" t="s">
        <v>42</v>
      </c>
      <c r="K109" s="8" t="s">
        <v>25</v>
      </c>
      <c r="L109" s="11"/>
      <c r="M109" s="12" t="s">
        <v>43</v>
      </c>
      <c r="N109" s="11"/>
    </row>
    <row r="110" customFormat="false" ht="18" hidden="false" customHeight="true" outlineLevel="0" collapsed="false">
      <c r="A110" s="5" t="n">
        <v>107</v>
      </c>
      <c r="B110" s="6" t="s">
        <v>564</v>
      </c>
      <c r="C110" s="6" t="s">
        <v>565</v>
      </c>
      <c r="D110" s="6" t="s">
        <v>53</v>
      </c>
      <c r="E110" s="7" t="s">
        <v>107</v>
      </c>
      <c r="F110" s="7" t="s">
        <v>566</v>
      </c>
      <c r="G110" s="7" t="s">
        <v>567</v>
      </c>
      <c r="H110" s="6" t="s">
        <v>23</v>
      </c>
      <c r="I110" s="6" t="s">
        <v>23</v>
      </c>
      <c r="J110" s="6" t="s">
        <v>276</v>
      </c>
      <c r="K110" s="8" t="s">
        <v>25</v>
      </c>
      <c r="L110" s="7"/>
      <c r="M110" s="8" t="s">
        <v>59</v>
      </c>
      <c r="N110" s="7"/>
    </row>
    <row r="111" customFormat="false" ht="18" hidden="false" customHeight="true" outlineLevel="0" collapsed="false">
      <c r="A111" s="5" t="n">
        <v>108</v>
      </c>
      <c r="B111" s="10" t="s">
        <v>568</v>
      </c>
      <c r="C111" s="10" t="s">
        <v>569</v>
      </c>
      <c r="D111" s="10" t="s">
        <v>422</v>
      </c>
      <c r="E111" s="11" t="s">
        <v>69</v>
      </c>
      <c r="F111" s="11" t="s">
        <v>570</v>
      </c>
      <c r="G111" s="11" t="s">
        <v>571</v>
      </c>
      <c r="H111" s="10" t="s">
        <v>572</v>
      </c>
      <c r="I111" s="10" t="s">
        <v>23</v>
      </c>
      <c r="J111" s="10" t="s">
        <v>24</v>
      </c>
      <c r="K111" s="8" t="s">
        <v>25</v>
      </c>
      <c r="L111" s="11"/>
      <c r="M111" s="9" t="s">
        <v>26</v>
      </c>
      <c r="N111" s="11"/>
    </row>
    <row r="112" customFormat="false" ht="18" hidden="false" customHeight="true" outlineLevel="0" collapsed="false">
      <c r="A112" s="5" t="n">
        <v>109</v>
      </c>
      <c r="B112" s="6" t="s">
        <v>573</v>
      </c>
      <c r="C112" s="6" t="s">
        <v>574</v>
      </c>
      <c r="D112" s="6" t="s">
        <v>106</v>
      </c>
      <c r="E112" s="7" t="s">
        <v>189</v>
      </c>
      <c r="F112" s="7" t="s">
        <v>575</v>
      </c>
      <c r="G112" s="7" t="s">
        <v>576</v>
      </c>
      <c r="H112" s="6" t="s">
        <v>577</v>
      </c>
      <c r="I112" s="6" t="s">
        <v>23</v>
      </c>
      <c r="J112" s="6" t="s">
        <v>506</v>
      </c>
      <c r="K112" s="8" t="s">
        <v>25</v>
      </c>
      <c r="L112" s="7"/>
      <c r="M112" s="9" t="s">
        <v>26</v>
      </c>
      <c r="N112" s="7"/>
    </row>
    <row r="113" customFormat="false" ht="18" hidden="false" customHeight="true" outlineLevel="0" collapsed="false">
      <c r="A113" s="5" t="n">
        <v>110</v>
      </c>
      <c r="B113" s="10" t="s">
        <v>578</v>
      </c>
      <c r="C113" s="10" t="s">
        <v>579</v>
      </c>
      <c r="D113" s="10" t="s">
        <v>461</v>
      </c>
      <c r="E113" s="11" t="s">
        <v>38</v>
      </c>
      <c r="F113" s="11" t="s">
        <v>580</v>
      </c>
      <c r="G113" s="11" t="s">
        <v>581</v>
      </c>
      <c r="H113" s="10" t="s">
        <v>582</v>
      </c>
      <c r="I113" s="10" t="s">
        <v>23</v>
      </c>
      <c r="J113" s="10" t="s">
        <v>111</v>
      </c>
      <c r="K113" s="8" t="s">
        <v>25</v>
      </c>
      <c r="L113" s="11"/>
      <c r="M113" s="8" t="s">
        <v>59</v>
      </c>
      <c r="N113" s="11"/>
    </row>
    <row r="114" customFormat="false" ht="18" hidden="false" customHeight="true" outlineLevel="0" collapsed="false">
      <c r="A114" s="5" t="n">
        <v>111</v>
      </c>
      <c r="B114" s="6" t="s">
        <v>583</v>
      </c>
      <c r="C114" s="6" t="s">
        <v>584</v>
      </c>
      <c r="D114" s="6" t="s">
        <v>168</v>
      </c>
      <c r="E114" s="7" t="s">
        <v>30</v>
      </c>
      <c r="F114" s="7" t="s">
        <v>585</v>
      </c>
      <c r="G114" s="7" t="s">
        <v>586</v>
      </c>
      <c r="H114" s="6" t="s">
        <v>23</v>
      </c>
      <c r="I114" s="6" t="s">
        <v>23</v>
      </c>
      <c r="J114" s="6" t="s">
        <v>79</v>
      </c>
      <c r="K114" s="8" t="s">
        <v>25</v>
      </c>
      <c r="L114" s="7"/>
      <c r="M114" s="9" t="s">
        <v>26</v>
      </c>
      <c r="N114" s="7"/>
    </row>
    <row r="115" customFormat="false" ht="18" hidden="false" customHeight="true" outlineLevel="0" collapsed="false">
      <c r="A115" s="5" t="n">
        <v>112</v>
      </c>
      <c r="B115" s="10" t="s">
        <v>587</v>
      </c>
      <c r="C115" s="10" t="s">
        <v>588</v>
      </c>
      <c r="D115" s="10" t="s">
        <v>37</v>
      </c>
      <c r="E115" s="11" t="s">
        <v>152</v>
      </c>
      <c r="F115" s="11" t="s">
        <v>589</v>
      </c>
      <c r="G115" s="11" t="s">
        <v>590</v>
      </c>
      <c r="H115" s="10" t="s">
        <v>23</v>
      </c>
      <c r="I115" s="10" t="s">
        <v>23</v>
      </c>
      <c r="J115" s="10" t="s">
        <v>24</v>
      </c>
      <c r="K115" s="8" t="s">
        <v>25</v>
      </c>
      <c r="L115" s="11"/>
      <c r="M115" s="12" t="s">
        <v>43</v>
      </c>
      <c r="N115" s="11"/>
    </row>
    <row r="116" customFormat="false" ht="18" hidden="false" customHeight="true" outlineLevel="0" collapsed="false">
      <c r="A116" s="5" t="n">
        <v>113</v>
      </c>
      <c r="B116" s="6" t="s">
        <v>591</v>
      </c>
      <c r="C116" s="6" t="s">
        <v>592</v>
      </c>
      <c r="D116" s="6" t="s">
        <v>209</v>
      </c>
      <c r="E116" s="7" t="s">
        <v>326</v>
      </c>
      <c r="F116" s="7" t="s">
        <v>593</v>
      </c>
      <c r="G116" s="7" t="s">
        <v>594</v>
      </c>
      <c r="H116" s="6" t="s">
        <v>23</v>
      </c>
      <c r="I116" s="6" t="s">
        <v>23</v>
      </c>
      <c r="J116" s="6" t="s">
        <v>34</v>
      </c>
      <c r="K116" s="8" t="s">
        <v>25</v>
      </c>
      <c r="L116" s="7"/>
      <c r="M116" s="9" t="s">
        <v>26</v>
      </c>
      <c r="N116" s="7"/>
    </row>
    <row r="117" customFormat="false" ht="18" hidden="false" customHeight="true" outlineLevel="0" collapsed="false">
      <c r="A117" s="5" t="n">
        <v>114</v>
      </c>
      <c r="B117" s="10" t="s">
        <v>595</v>
      </c>
      <c r="C117" s="10" t="s">
        <v>596</v>
      </c>
      <c r="D117" s="10" t="s">
        <v>316</v>
      </c>
      <c r="E117" s="11" t="s">
        <v>158</v>
      </c>
      <c r="F117" s="11" t="s">
        <v>597</v>
      </c>
      <c r="G117" s="11" t="s">
        <v>598</v>
      </c>
      <c r="H117" s="10" t="s">
        <v>23</v>
      </c>
      <c r="I117" s="10" t="s">
        <v>23</v>
      </c>
      <c r="J117" s="10" t="s">
        <v>506</v>
      </c>
      <c r="K117" s="8" t="s">
        <v>25</v>
      </c>
      <c r="L117" s="11"/>
      <c r="M117" s="9" t="s">
        <v>26</v>
      </c>
      <c r="N117" s="11"/>
    </row>
    <row r="118" customFormat="false" ht="18" hidden="false" customHeight="true" outlineLevel="0" collapsed="false">
      <c r="A118" s="5" t="n">
        <v>115</v>
      </c>
      <c r="B118" s="6" t="s">
        <v>599</v>
      </c>
      <c r="C118" s="6" t="s">
        <v>600</v>
      </c>
      <c r="D118" s="6" t="s">
        <v>87</v>
      </c>
      <c r="E118" s="7" t="s">
        <v>82</v>
      </c>
      <c r="F118" s="7" t="s">
        <v>601</v>
      </c>
      <c r="G118" s="7" t="s">
        <v>602</v>
      </c>
      <c r="H118" s="6" t="s">
        <v>603</v>
      </c>
      <c r="I118" s="6" t="s">
        <v>23</v>
      </c>
      <c r="J118" s="6" t="s">
        <v>34</v>
      </c>
      <c r="K118" s="8" t="s">
        <v>25</v>
      </c>
      <c r="L118" s="7"/>
      <c r="M118" s="9" t="s">
        <v>26</v>
      </c>
      <c r="N118" s="7"/>
    </row>
    <row r="119" customFormat="false" ht="18" hidden="false" customHeight="true" outlineLevel="0" collapsed="false">
      <c r="A119" s="5" t="n">
        <v>116</v>
      </c>
      <c r="B119" s="10" t="s">
        <v>604</v>
      </c>
      <c r="C119" s="10" t="s">
        <v>605</v>
      </c>
      <c r="D119" s="10" t="s">
        <v>46</v>
      </c>
      <c r="E119" s="11" t="s">
        <v>183</v>
      </c>
      <c r="F119" s="11" t="s">
        <v>606</v>
      </c>
      <c r="G119" s="11" t="s">
        <v>607</v>
      </c>
      <c r="H119" s="10" t="s">
        <v>608</v>
      </c>
      <c r="I119" s="10" t="s">
        <v>23</v>
      </c>
      <c r="J119" s="10" t="s">
        <v>276</v>
      </c>
      <c r="K119" s="8" t="s">
        <v>25</v>
      </c>
      <c r="L119" s="11"/>
      <c r="M119" s="12" t="s">
        <v>43</v>
      </c>
      <c r="N119" s="11"/>
    </row>
    <row r="120" customFormat="false" ht="18" hidden="false" customHeight="true" outlineLevel="0" collapsed="false">
      <c r="A120" s="5" t="n">
        <v>117</v>
      </c>
      <c r="B120" s="6" t="s">
        <v>609</v>
      </c>
      <c r="C120" s="6" t="s">
        <v>610</v>
      </c>
      <c r="D120" s="6" t="s">
        <v>106</v>
      </c>
      <c r="E120" s="7" t="s">
        <v>183</v>
      </c>
      <c r="F120" s="7" t="s">
        <v>611</v>
      </c>
      <c r="G120" s="7" t="s">
        <v>612</v>
      </c>
      <c r="H120" s="6" t="s">
        <v>613</v>
      </c>
      <c r="I120" s="6" t="s">
        <v>23</v>
      </c>
      <c r="J120" s="6" t="s">
        <v>97</v>
      </c>
      <c r="K120" s="8" t="s">
        <v>25</v>
      </c>
      <c r="L120" s="7"/>
      <c r="M120" s="9" t="s">
        <v>26</v>
      </c>
      <c r="N120" s="7"/>
    </row>
    <row r="121" customFormat="false" ht="18" hidden="false" customHeight="true" outlineLevel="0" collapsed="false">
      <c r="A121" s="5" t="n">
        <v>118</v>
      </c>
      <c r="B121" s="10" t="s">
        <v>614</v>
      </c>
      <c r="C121" s="10" t="s">
        <v>615</v>
      </c>
      <c r="D121" s="10" t="s">
        <v>53</v>
      </c>
      <c r="E121" s="11" t="s">
        <v>189</v>
      </c>
      <c r="F121" s="11" t="s">
        <v>616</v>
      </c>
      <c r="G121" s="11" t="s">
        <v>617</v>
      </c>
      <c r="H121" s="10" t="s">
        <v>23</v>
      </c>
      <c r="I121" s="10" t="s">
        <v>23</v>
      </c>
      <c r="J121" s="10" t="s">
        <v>58</v>
      </c>
      <c r="K121" s="8" t="s">
        <v>25</v>
      </c>
      <c r="L121" s="11"/>
      <c r="M121" s="8" t="s">
        <v>59</v>
      </c>
      <c r="N121" s="11"/>
    </row>
    <row r="122" customFormat="false" ht="18" hidden="false" customHeight="true" outlineLevel="0" collapsed="false">
      <c r="A122" s="5" t="n">
        <v>119</v>
      </c>
      <c r="B122" s="6" t="s">
        <v>618</v>
      </c>
      <c r="C122" s="6" t="s">
        <v>619</v>
      </c>
      <c r="D122" s="6" t="s">
        <v>461</v>
      </c>
      <c r="E122" s="7" t="s">
        <v>20</v>
      </c>
      <c r="F122" s="7" t="s">
        <v>620</v>
      </c>
      <c r="G122" s="7" t="s">
        <v>621</v>
      </c>
      <c r="H122" s="6" t="s">
        <v>622</v>
      </c>
      <c r="I122" s="6" t="s">
        <v>23</v>
      </c>
      <c r="J122" s="6" t="s">
        <v>34</v>
      </c>
      <c r="K122" s="8" t="s">
        <v>25</v>
      </c>
      <c r="L122" s="7"/>
      <c r="M122" s="8" t="s">
        <v>59</v>
      </c>
      <c r="N122" s="7"/>
    </row>
    <row r="123" customFormat="false" ht="18" hidden="false" customHeight="true" outlineLevel="0" collapsed="false">
      <c r="A123" s="5" t="n">
        <v>120</v>
      </c>
      <c r="B123" s="10" t="s">
        <v>623</v>
      </c>
      <c r="C123" s="10" t="s">
        <v>624</v>
      </c>
      <c r="D123" s="10" t="s">
        <v>254</v>
      </c>
      <c r="E123" s="11" t="s">
        <v>326</v>
      </c>
      <c r="F123" s="11" t="s">
        <v>625</v>
      </c>
      <c r="G123" s="11" t="s">
        <v>626</v>
      </c>
      <c r="H123" s="10" t="s">
        <v>627</v>
      </c>
      <c r="I123" s="10" t="s">
        <v>23</v>
      </c>
      <c r="J123" s="10" t="s">
        <v>506</v>
      </c>
      <c r="K123" s="8" t="s">
        <v>25</v>
      </c>
      <c r="L123" s="11"/>
      <c r="M123" s="12" t="s">
        <v>43</v>
      </c>
      <c r="N123" s="11"/>
    </row>
    <row r="124" customFormat="false" ht="18" hidden="false" customHeight="true" outlineLevel="0" collapsed="false">
      <c r="A124" s="5" t="n">
        <v>121</v>
      </c>
      <c r="B124" s="6" t="s">
        <v>628</v>
      </c>
      <c r="C124" s="6" t="s">
        <v>629</v>
      </c>
      <c r="D124" s="6" t="s">
        <v>53</v>
      </c>
      <c r="E124" s="7" t="s">
        <v>326</v>
      </c>
      <c r="F124" s="7" t="s">
        <v>630</v>
      </c>
      <c r="G124" s="7" t="s">
        <v>631</v>
      </c>
      <c r="H124" s="6" t="s">
        <v>632</v>
      </c>
      <c r="I124" s="6" t="s">
        <v>23</v>
      </c>
      <c r="J124" s="6" t="s">
        <v>276</v>
      </c>
      <c r="K124" s="8" t="s">
        <v>25</v>
      </c>
      <c r="L124" s="7"/>
      <c r="M124" s="9" t="s">
        <v>26</v>
      </c>
      <c r="N124" s="7"/>
    </row>
    <row r="125" customFormat="false" ht="18" hidden="false" customHeight="true" outlineLevel="0" collapsed="false">
      <c r="A125" s="5" t="n">
        <v>122</v>
      </c>
      <c r="B125" s="10" t="s">
        <v>633</v>
      </c>
      <c r="C125" s="10" t="s">
        <v>533</v>
      </c>
      <c r="D125" s="10" t="s">
        <v>135</v>
      </c>
      <c r="E125" s="11" t="s">
        <v>63</v>
      </c>
      <c r="F125" s="11" t="s">
        <v>634</v>
      </c>
      <c r="G125" s="11" t="s">
        <v>635</v>
      </c>
      <c r="H125" s="10" t="s">
        <v>636</v>
      </c>
      <c r="I125" s="10" t="s">
        <v>23</v>
      </c>
      <c r="J125" s="10" t="s">
        <v>79</v>
      </c>
      <c r="K125" s="8" t="s">
        <v>25</v>
      </c>
      <c r="L125" s="11"/>
      <c r="M125" s="8" t="s">
        <v>59</v>
      </c>
      <c r="N125" s="11"/>
    </row>
    <row r="126" customFormat="false" ht="18" hidden="false" customHeight="true" outlineLevel="0" collapsed="false">
      <c r="A126" s="5" t="n">
        <v>123</v>
      </c>
      <c r="B126" s="6" t="s">
        <v>637</v>
      </c>
      <c r="C126" s="6" t="s">
        <v>638</v>
      </c>
      <c r="D126" s="6" t="s">
        <v>151</v>
      </c>
      <c r="E126" s="7" t="s">
        <v>189</v>
      </c>
      <c r="F126" s="7" t="s">
        <v>639</v>
      </c>
      <c r="G126" s="7" t="s">
        <v>640</v>
      </c>
      <c r="H126" s="6" t="s">
        <v>641</v>
      </c>
      <c r="I126" s="6" t="s">
        <v>23</v>
      </c>
      <c r="J126" s="6" t="s">
        <v>24</v>
      </c>
      <c r="K126" s="8" t="s">
        <v>25</v>
      </c>
      <c r="L126" s="7"/>
      <c r="M126" s="9" t="s">
        <v>26</v>
      </c>
      <c r="N126" s="7"/>
    </row>
    <row r="127" customFormat="false" ht="18" hidden="false" customHeight="true" outlineLevel="0" collapsed="false">
      <c r="A127" s="5" t="n">
        <v>124</v>
      </c>
      <c r="B127" s="10" t="s">
        <v>642</v>
      </c>
      <c r="C127" s="10" t="s">
        <v>643</v>
      </c>
      <c r="D127" s="10" t="s">
        <v>254</v>
      </c>
      <c r="E127" s="11" t="s">
        <v>20</v>
      </c>
      <c r="F127" s="11" t="s">
        <v>644</v>
      </c>
      <c r="G127" s="11" t="s">
        <v>645</v>
      </c>
      <c r="H127" s="10" t="s">
        <v>646</v>
      </c>
      <c r="I127" s="10" t="s">
        <v>23</v>
      </c>
      <c r="J127" s="10" t="s">
        <v>506</v>
      </c>
      <c r="K127" s="8" t="s">
        <v>25</v>
      </c>
      <c r="L127" s="11"/>
      <c r="M127" s="12" t="s">
        <v>43</v>
      </c>
      <c r="N127" s="11"/>
    </row>
    <row r="128" customFormat="false" ht="18" hidden="false" customHeight="true" outlineLevel="0" collapsed="false">
      <c r="A128" s="5" t="n">
        <v>125</v>
      </c>
      <c r="B128" s="6" t="s">
        <v>647</v>
      </c>
      <c r="C128" s="6" t="s">
        <v>648</v>
      </c>
      <c r="D128" s="6" t="s">
        <v>146</v>
      </c>
      <c r="E128" s="7" t="s">
        <v>75</v>
      </c>
      <c r="F128" s="7" t="s">
        <v>649</v>
      </c>
      <c r="G128" s="7" t="s">
        <v>650</v>
      </c>
      <c r="H128" s="6" t="s">
        <v>651</v>
      </c>
      <c r="I128" s="6" t="s">
        <v>23</v>
      </c>
      <c r="J128" s="6" t="s">
        <v>276</v>
      </c>
      <c r="K128" s="8" t="s">
        <v>25</v>
      </c>
      <c r="L128" s="7"/>
      <c r="M128" s="8" t="s">
        <v>59</v>
      </c>
      <c r="N128" s="7"/>
    </row>
    <row r="129" customFormat="false" ht="18" hidden="false" customHeight="true" outlineLevel="0" collapsed="false">
      <c r="A129" s="5" t="n">
        <v>126</v>
      </c>
      <c r="B129" s="10" t="s">
        <v>652</v>
      </c>
      <c r="C129" s="10" t="s">
        <v>653</v>
      </c>
      <c r="D129" s="10" t="s">
        <v>209</v>
      </c>
      <c r="E129" s="11" t="s">
        <v>69</v>
      </c>
      <c r="F129" s="11" t="s">
        <v>654</v>
      </c>
      <c r="G129" s="11" t="s">
        <v>655</v>
      </c>
      <c r="H129" s="10" t="s">
        <v>656</v>
      </c>
      <c r="I129" s="10" t="s">
        <v>23</v>
      </c>
      <c r="J129" s="10" t="s">
        <v>24</v>
      </c>
      <c r="K129" s="8" t="s">
        <v>25</v>
      </c>
      <c r="L129" s="11"/>
      <c r="M129" s="9" t="s">
        <v>26</v>
      </c>
      <c r="N129" s="11"/>
    </row>
    <row r="130" customFormat="false" ht="18" hidden="false" customHeight="true" outlineLevel="0" collapsed="false">
      <c r="A130" s="5" t="n">
        <v>127</v>
      </c>
      <c r="B130" s="6" t="s">
        <v>657</v>
      </c>
      <c r="C130" s="6" t="s">
        <v>658</v>
      </c>
      <c r="D130" s="6" t="s">
        <v>422</v>
      </c>
      <c r="E130" s="7" t="s">
        <v>38</v>
      </c>
      <c r="F130" s="7" t="s">
        <v>659</v>
      </c>
      <c r="G130" s="7" t="s">
        <v>660</v>
      </c>
      <c r="H130" s="6" t="s">
        <v>661</v>
      </c>
      <c r="I130" s="6" t="s">
        <v>23</v>
      </c>
      <c r="J130" s="6" t="s">
        <v>58</v>
      </c>
      <c r="K130" s="8" t="s">
        <v>25</v>
      </c>
      <c r="L130" s="7"/>
      <c r="M130" s="9" t="s">
        <v>26</v>
      </c>
      <c r="N130" s="7"/>
    </row>
    <row r="131" customFormat="false" ht="18" hidden="false" customHeight="true" outlineLevel="0" collapsed="false">
      <c r="A131" s="5" t="n">
        <v>128</v>
      </c>
      <c r="B131" s="10" t="s">
        <v>662</v>
      </c>
      <c r="C131" s="10" t="s">
        <v>663</v>
      </c>
      <c r="D131" s="10" t="s">
        <v>87</v>
      </c>
      <c r="E131" s="11" t="s">
        <v>75</v>
      </c>
      <c r="F131" s="11" t="s">
        <v>664</v>
      </c>
      <c r="G131" s="11" t="s">
        <v>665</v>
      </c>
      <c r="H131" s="10" t="s">
        <v>666</v>
      </c>
      <c r="I131" s="10" t="s">
        <v>23</v>
      </c>
      <c r="J131" s="10" t="s">
        <v>276</v>
      </c>
      <c r="K131" s="8" t="s">
        <v>25</v>
      </c>
      <c r="L131" s="11"/>
      <c r="M131" s="9" t="s">
        <v>26</v>
      </c>
      <c r="N131" s="11"/>
    </row>
    <row r="132" customFormat="false" ht="18" hidden="false" customHeight="true" outlineLevel="0" collapsed="false">
      <c r="A132" s="5" t="n">
        <v>129</v>
      </c>
      <c r="B132" s="6" t="s">
        <v>667</v>
      </c>
      <c r="C132" s="6" t="s">
        <v>668</v>
      </c>
      <c r="D132" s="6" t="s">
        <v>209</v>
      </c>
      <c r="E132" s="7" t="s">
        <v>69</v>
      </c>
      <c r="F132" s="7" t="s">
        <v>669</v>
      </c>
      <c r="G132" s="7" t="s">
        <v>670</v>
      </c>
      <c r="H132" s="6" t="s">
        <v>23</v>
      </c>
      <c r="I132" s="6" t="s">
        <v>23</v>
      </c>
      <c r="J132" s="6" t="s">
        <v>276</v>
      </c>
      <c r="K132" s="8" t="s">
        <v>25</v>
      </c>
      <c r="L132" s="7"/>
      <c r="M132" s="9" t="s">
        <v>26</v>
      </c>
      <c r="N132" s="7"/>
    </row>
    <row r="133" customFormat="false" ht="18" hidden="false" customHeight="true" outlineLevel="0" collapsed="false">
      <c r="A133" s="5" t="n">
        <v>130</v>
      </c>
      <c r="B133" s="10" t="s">
        <v>671</v>
      </c>
      <c r="C133" s="10" t="s">
        <v>672</v>
      </c>
      <c r="D133" s="10" t="s">
        <v>125</v>
      </c>
      <c r="E133" s="11" t="s">
        <v>75</v>
      </c>
      <c r="F133" s="11" t="s">
        <v>673</v>
      </c>
      <c r="G133" s="11" t="s">
        <v>674</v>
      </c>
      <c r="H133" s="10" t="s">
        <v>23</v>
      </c>
      <c r="I133" s="10" t="s">
        <v>23</v>
      </c>
      <c r="J133" s="10" t="s">
        <v>79</v>
      </c>
      <c r="K133" s="8" t="s">
        <v>25</v>
      </c>
      <c r="L133" s="11"/>
      <c r="M133" s="12" t="s">
        <v>43</v>
      </c>
      <c r="N133" s="11"/>
    </row>
    <row r="134" customFormat="false" ht="18" hidden="false" customHeight="true" outlineLevel="0" collapsed="false">
      <c r="A134" s="5" t="n">
        <v>131</v>
      </c>
      <c r="B134" s="6" t="s">
        <v>675</v>
      </c>
      <c r="C134" s="6" t="s">
        <v>676</v>
      </c>
      <c r="D134" s="6" t="s">
        <v>209</v>
      </c>
      <c r="E134" s="7" t="s">
        <v>82</v>
      </c>
      <c r="F134" s="7" t="s">
        <v>677</v>
      </c>
      <c r="G134" s="7" t="s">
        <v>678</v>
      </c>
      <c r="H134" s="6" t="s">
        <v>679</v>
      </c>
      <c r="I134" s="6" t="s">
        <v>23</v>
      </c>
      <c r="J134" s="6" t="s">
        <v>34</v>
      </c>
      <c r="K134" s="8" t="s">
        <v>25</v>
      </c>
      <c r="L134" s="7"/>
      <c r="M134" s="9" t="s">
        <v>26</v>
      </c>
      <c r="N134" s="7"/>
    </row>
    <row r="135" customFormat="false" ht="18" hidden="false" customHeight="true" outlineLevel="0" collapsed="false">
      <c r="A135" s="5" t="n">
        <v>132</v>
      </c>
      <c r="B135" s="10" t="s">
        <v>680</v>
      </c>
      <c r="C135" s="10" t="s">
        <v>681</v>
      </c>
      <c r="D135" s="10" t="s">
        <v>151</v>
      </c>
      <c r="E135" s="11" t="s">
        <v>107</v>
      </c>
      <c r="F135" s="11" t="s">
        <v>682</v>
      </c>
      <c r="G135" s="11" t="s">
        <v>683</v>
      </c>
      <c r="H135" s="10" t="s">
        <v>684</v>
      </c>
      <c r="I135" s="10" t="s">
        <v>23</v>
      </c>
      <c r="J135" s="10" t="s">
        <v>506</v>
      </c>
      <c r="K135" s="8" t="s">
        <v>25</v>
      </c>
      <c r="L135" s="11"/>
      <c r="M135" s="9" t="s">
        <v>26</v>
      </c>
      <c r="N135" s="11"/>
    </row>
    <row r="136" customFormat="false" ht="18" hidden="false" customHeight="true" outlineLevel="0" collapsed="false">
      <c r="A136" s="5" t="n">
        <v>133</v>
      </c>
      <c r="B136" s="6" t="s">
        <v>685</v>
      </c>
      <c r="C136" s="6" t="s">
        <v>686</v>
      </c>
      <c r="D136" s="6" t="s">
        <v>461</v>
      </c>
      <c r="E136" s="7" t="s">
        <v>38</v>
      </c>
      <c r="F136" s="7" t="s">
        <v>687</v>
      </c>
      <c r="G136" s="7" t="s">
        <v>688</v>
      </c>
      <c r="H136" s="6" t="s">
        <v>23</v>
      </c>
      <c r="I136" s="6" t="s">
        <v>23</v>
      </c>
      <c r="J136" s="6" t="s">
        <v>111</v>
      </c>
      <c r="K136" s="8" t="s">
        <v>25</v>
      </c>
      <c r="L136" s="7"/>
      <c r="M136" s="9" t="s">
        <v>26</v>
      </c>
      <c r="N136" s="7"/>
    </row>
    <row r="137" customFormat="false" ht="18" hidden="false" customHeight="true" outlineLevel="0" collapsed="false">
      <c r="A137" s="5" t="n">
        <v>134</v>
      </c>
      <c r="B137" s="10" t="s">
        <v>689</v>
      </c>
      <c r="C137" s="10" t="s">
        <v>690</v>
      </c>
      <c r="D137" s="10" t="s">
        <v>87</v>
      </c>
      <c r="E137" s="11" t="s">
        <v>189</v>
      </c>
      <c r="F137" s="11" t="s">
        <v>691</v>
      </c>
      <c r="G137" s="11" t="s">
        <v>692</v>
      </c>
      <c r="H137" s="10" t="s">
        <v>693</v>
      </c>
      <c r="I137" s="10" t="s">
        <v>23</v>
      </c>
      <c r="J137" s="10" t="s">
        <v>506</v>
      </c>
      <c r="K137" s="8" t="s">
        <v>25</v>
      </c>
      <c r="L137" s="11"/>
      <c r="M137" s="9" t="s">
        <v>26</v>
      </c>
      <c r="N137" s="11"/>
    </row>
    <row r="138" customFormat="false" ht="18" hidden="false" customHeight="true" outlineLevel="0" collapsed="false">
      <c r="A138" s="5" t="n">
        <v>135</v>
      </c>
      <c r="B138" s="6" t="s">
        <v>694</v>
      </c>
      <c r="C138" s="6" t="s">
        <v>695</v>
      </c>
      <c r="D138" s="6" t="s">
        <v>100</v>
      </c>
      <c r="E138" s="7" t="s">
        <v>107</v>
      </c>
      <c r="F138" s="7" t="s">
        <v>696</v>
      </c>
      <c r="G138" s="7" t="s">
        <v>697</v>
      </c>
      <c r="H138" s="6" t="s">
        <v>698</v>
      </c>
      <c r="I138" s="6" t="s">
        <v>23</v>
      </c>
      <c r="J138" s="6" t="s">
        <v>24</v>
      </c>
      <c r="K138" s="8" t="s">
        <v>25</v>
      </c>
      <c r="L138" s="7"/>
      <c r="M138" s="9" t="s">
        <v>26</v>
      </c>
      <c r="N138" s="7"/>
    </row>
    <row r="139" customFormat="false" ht="18" hidden="false" customHeight="true" outlineLevel="0" collapsed="false">
      <c r="A139" s="5" t="n">
        <v>136</v>
      </c>
      <c r="B139" s="10" t="s">
        <v>699</v>
      </c>
      <c r="C139" s="10" t="s">
        <v>700</v>
      </c>
      <c r="D139" s="10" t="s">
        <v>461</v>
      </c>
      <c r="E139" s="11" t="s">
        <v>158</v>
      </c>
      <c r="F139" s="11" t="s">
        <v>701</v>
      </c>
      <c r="G139" s="11" t="s">
        <v>702</v>
      </c>
      <c r="H139" s="10" t="s">
        <v>703</v>
      </c>
      <c r="I139" s="10" t="s">
        <v>23</v>
      </c>
      <c r="J139" s="10" t="s">
        <v>34</v>
      </c>
      <c r="K139" s="8" t="s">
        <v>25</v>
      </c>
      <c r="L139" s="11"/>
      <c r="M139" s="12" t="s">
        <v>43</v>
      </c>
      <c r="N139" s="11"/>
    </row>
    <row r="140" customFormat="false" ht="18" hidden="false" customHeight="true" outlineLevel="0" collapsed="false">
      <c r="A140" s="5" t="n">
        <v>137</v>
      </c>
      <c r="B140" s="6" t="s">
        <v>704</v>
      </c>
      <c r="C140" s="6" t="s">
        <v>705</v>
      </c>
      <c r="D140" s="6" t="s">
        <v>125</v>
      </c>
      <c r="E140" s="7" t="s">
        <v>38</v>
      </c>
      <c r="F140" s="7" t="s">
        <v>706</v>
      </c>
      <c r="G140" s="7" t="s">
        <v>707</v>
      </c>
      <c r="H140" s="6" t="s">
        <v>23</v>
      </c>
      <c r="I140" s="6" t="s">
        <v>23</v>
      </c>
      <c r="J140" s="6" t="s">
        <v>58</v>
      </c>
      <c r="K140" s="8" t="s">
        <v>25</v>
      </c>
      <c r="L140" s="7"/>
      <c r="M140" s="9" t="s">
        <v>26</v>
      </c>
      <c r="N140" s="7"/>
    </row>
    <row r="141" customFormat="false" ht="18" hidden="false" customHeight="true" outlineLevel="0" collapsed="false">
      <c r="A141" s="5" t="n">
        <v>138</v>
      </c>
      <c r="B141" s="10" t="s">
        <v>708</v>
      </c>
      <c r="C141" s="10" t="s">
        <v>709</v>
      </c>
      <c r="D141" s="10" t="s">
        <v>422</v>
      </c>
      <c r="E141" s="11" t="s">
        <v>69</v>
      </c>
      <c r="F141" s="11" t="s">
        <v>710</v>
      </c>
      <c r="G141" s="11" t="s">
        <v>711</v>
      </c>
      <c r="H141" s="10" t="s">
        <v>712</v>
      </c>
      <c r="I141" s="10" t="s">
        <v>23</v>
      </c>
      <c r="J141" s="10" t="s">
        <v>506</v>
      </c>
      <c r="K141" s="8" t="s">
        <v>25</v>
      </c>
      <c r="L141" s="11"/>
      <c r="M141" s="9" t="s">
        <v>26</v>
      </c>
      <c r="N141" s="11"/>
    </row>
    <row r="142" customFormat="false" ht="18" hidden="false" customHeight="true" outlineLevel="0" collapsed="false">
      <c r="A142" s="5" t="n">
        <v>139</v>
      </c>
      <c r="B142" s="6" t="s">
        <v>713</v>
      </c>
      <c r="C142" s="6" t="s">
        <v>714</v>
      </c>
      <c r="D142" s="6" t="s">
        <v>422</v>
      </c>
      <c r="E142" s="7" t="s">
        <v>82</v>
      </c>
      <c r="F142" s="7" t="s">
        <v>715</v>
      </c>
      <c r="G142" s="7" t="s">
        <v>716</v>
      </c>
      <c r="H142" s="6" t="s">
        <v>717</v>
      </c>
      <c r="I142" s="6" t="s">
        <v>23</v>
      </c>
      <c r="J142" s="6" t="s">
        <v>506</v>
      </c>
      <c r="K142" s="8" t="s">
        <v>25</v>
      </c>
      <c r="L142" s="7"/>
      <c r="M142" s="12" t="s">
        <v>43</v>
      </c>
      <c r="N142" s="7"/>
    </row>
    <row r="143" customFormat="false" ht="18" hidden="false" customHeight="true" outlineLevel="0" collapsed="false">
      <c r="A143" s="5" t="n">
        <v>140</v>
      </c>
      <c r="B143" s="10" t="s">
        <v>718</v>
      </c>
      <c r="C143" s="10" t="s">
        <v>719</v>
      </c>
      <c r="D143" s="10" t="s">
        <v>114</v>
      </c>
      <c r="E143" s="11" t="s">
        <v>152</v>
      </c>
      <c r="F143" s="11" t="s">
        <v>720</v>
      </c>
      <c r="G143" s="11" t="s">
        <v>721</v>
      </c>
      <c r="H143" s="10" t="s">
        <v>722</v>
      </c>
      <c r="I143" s="10" t="s">
        <v>23</v>
      </c>
      <c r="J143" s="10" t="s">
        <v>506</v>
      </c>
      <c r="K143" s="8" t="s">
        <v>25</v>
      </c>
      <c r="L143" s="11"/>
      <c r="M143" s="12" t="s">
        <v>43</v>
      </c>
      <c r="N143" s="11"/>
    </row>
    <row r="144" customFormat="false" ht="18" hidden="false" customHeight="true" outlineLevel="0" collapsed="false">
      <c r="A144" s="5" t="n">
        <v>141</v>
      </c>
      <c r="B144" s="6" t="s">
        <v>723</v>
      </c>
      <c r="C144" s="6" t="s">
        <v>724</v>
      </c>
      <c r="D144" s="6" t="s">
        <v>46</v>
      </c>
      <c r="E144" s="7" t="s">
        <v>158</v>
      </c>
      <c r="F144" s="7" t="s">
        <v>725</v>
      </c>
      <c r="G144" s="7" t="s">
        <v>726</v>
      </c>
      <c r="H144" s="6" t="s">
        <v>23</v>
      </c>
      <c r="I144" s="6" t="s">
        <v>23</v>
      </c>
      <c r="J144" s="6" t="s">
        <v>111</v>
      </c>
      <c r="K144" s="8" t="s">
        <v>25</v>
      </c>
      <c r="L144" s="7"/>
      <c r="M144" s="12" t="s">
        <v>43</v>
      </c>
      <c r="N144" s="7"/>
    </row>
    <row r="145" customFormat="false" ht="18" hidden="false" customHeight="true" outlineLevel="0" collapsed="false">
      <c r="A145" s="5" t="n">
        <v>142</v>
      </c>
      <c r="B145" s="10" t="s">
        <v>727</v>
      </c>
      <c r="C145" s="10" t="s">
        <v>219</v>
      </c>
      <c r="D145" s="10" t="s">
        <v>182</v>
      </c>
      <c r="E145" s="11" t="s">
        <v>158</v>
      </c>
      <c r="F145" s="11" t="s">
        <v>728</v>
      </c>
      <c r="G145" s="11" t="s">
        <v>729</v>
      </c>
      <c r="H145" s="10" t="s">
        <v>730</v>
      </c>
      <c r="I145" s="10" t="s">
        <v>23</v>
      </c>
      <c r="J145" s="10" t="s">
        <v>97</v>
      </c>
      <c r="K145" s="8" t="s">
        <v>25</v>
      </c>
      <c r="L145" s="11"/>
      <c r="M145" s="9" t="s">
        <v>26</v>
      </c>
      <c r="N145" s="11"/>
    </row>
    <row r="146" customFormat="false" ht="18" hidden="false" customHeight="true" outlineLevel="0" collapsed="false">
      <c r="A146" s="5" t="n">
        <v>143</v>
      </c>
      <c r="B146" s="6" t="s">
        <v>731</v>
      </c>
      <c r="C146" s="6" t="s">
        <v>732</v>
      </c>
      <c r="D146" s="6" t="s">
        <v>46</v>
      </c>
      <c r="E146" s="7" t="s">
        <v>326</v>
      </c>
      <c r="F146" s="7" t="s">
        <v>733</v>
      </c>
      <c r="G146" s="7" t="s">
        <v>734</v>
      </c>
      <c r="H146" s="6" t="s">
        <v>23</v>
      </c>
      <c r="I146" s="6" t="s">
        <v>23</v>
      </c>
      <c r="J146" s="6" t="s">
        <v>276</v>
      </c>
      <c r="K146" s="8" t="s">
        <v>25</v>
      </c>
      <c r="L146" s="7"/>
      <c r="M146" s="8" t="s">
        <v>59</v>
      </c>
      <c r="N146" s="7"/>
    </row>
    <row r="147" customFormat="false" ht="18" hidden="false" customHeight="true" outlineLevel="0" collapsed="false">
      <c r="A147" s="5" t="n">
        <v>144</v>
      </c>
      <c r="B147" s="10" t="s">
        <v>735</v>
      </c>
      <c r="C147" s="10" t="s">
        <v>736</v>
      </c>
      <c r="D147" s="10" t="s">
        <v>182</v>
      </c>
      <c r="E147" s="11" t="s">
        <v>75</v>
      </c>
      <c r="F147" s="11" t="s">
        <v>737</v>
      </c>
      <c r="G147" s="11" t="s">
        <v>738</v>
      </c>
      <c r="H147" s="10" t="s">
        <v>739</v>
      </c>
      <c r="I147" s="10" t="s">
        <v>23</v>
      </c>
      <c r="J147" s="10" t="s">
        <v>97</v>
      </c>
      <c r="K147" s="8" t="s">
        <v>25</v>
      </c>
      <c r="L147" s="11"/>
      <c r="M147" s="9" t="s">
        <v>26</v>
      </c>
      <c r="N147" s="11"/>
    </row>
    <row r="148" customFormat="false" ht="18" hidden="false" customHeight="true" outlineLevel="0" collapsed="false">
      <c r="A148" s="5" t="n">
        <v>145</v>
      </c>
      <c r="B148" s="6" t="s">
        <v>740</v>
      </c>
      <c r="C148" s="6" t="s">
        <v>741</v>
      </c>
      <c r="D148" s="6" t="s">
        <v>151</v>
      </c>
      <c r="E148" s="7" t="s">
        <v>69</v>
      </c>
      <c r="F148" s="7" t="s">
        <v>742</v>
      </c>
      <c r="G148" s="7" t="s">
        <v>743</v>
      </c>
      <c r="H148" s="6" t="s">
        <v>744</v>
      </c>
      <c r="I148" s="6" t="s">
        <v>23</v>
      </c>
      <c r="J148" s="6" t="s">
        <v>111</v>
      </c>
      <c r="K148" s="8" t="s">
        <v>25</v>
      </c>
      <c r="L148" s="7"/>
      <c r="M148" s="9" t="s">
        <v>26</v>
      </c>
      <c r="N148" s="7"/>
    </row>
    <row r="149" customFormat="false" ht="18" hidden="false" customHeight="true" outlineLevel="0" collapsed="false">
      <c r="A149" s="5" t="n">
        <v>146</v>
      </c>
      <c r="B149" s="10" t="s">
        <v>745</v>
      </c>
      <c r="C149" s="10" t="s">
        <v>746</v>
      </c>
      <c r="D149" s="10" t="s">
        <v>106</v>
      </c>
      <c r="E149" s="11" t="s">
        <v>75</v>
      </c>
      <c r="F149" s="11" t="s">
        <v>747</v>
      </c>
      <c r="G149" s="11" t="s">
        <v>748</v>
      </c>
      <c r="H149" s="10" t="s">
        <v>749</v>
      </c>
      <c r="I149" s="10" t="s">
        <v>23</v>
      </c>
      <c r="J149" s="10" t="s">
        <v>24</v>
      </c>
      <c r="K149" s="8" t="s">
        <v>25</v>
      </c>
      <c r="L149" s="11"/>
      <c r="M149" s="12" t="s">
        <v>43</v>
      </c>
      <c r="N149" s="11"/>
    </row>
    <row r="150" customFormat="false" ht="18" hidden="false" customHeight="true" outlineLevel="0" collapsed="false">
      <c r="A150" s="5" t="n">
        <v>147</v>
      </c>
      <c r="B150" s="6" t="s">
        <v>750</v>
      </c>
      <c r="C150" s="6" t="s">
        <v>751</v>
      </c>
      <c r="D150" s="6" t="s">
        <v>151</v>
      </c>
      <c r="E150" s="7" t="s">
        <v>69</v>
      </c>
      <c r="F150" s="7" t="s">
        <v>752</v>
      </c>
      <c r="G150" s="7" t="s">
        <v>753</v>
      </c>
      <c r="H150" s="6" t="s">
        <v>754</v>
      </c>
      <c r="I150" s="6" t="s">
        <v>23</v>
      </c>
      <c r="J150" s="6" t="s">
        <v>97</v>
      </c>
      <c r="K150" s="8" t="s">
        <v>25</v>
      </c>
      <c r="L150" s="7"/>
      <c r="M150" s="9" t="s">
        <v>26</v>
      </c>
      <c r="N150" s="7"/>
    </row>
    <row r="151" customFormat="false" ht="18" hidden="false" customHeight="true" outlineLevel="0" collapsed="false">
      <c r="A151" s="5" t="n">
        <v>148</v>
      </c>
      <c r="B151" s="10" t="s">
        <v>755</v>
      </c>
      <c r="C151" s="10" t="s">
        <v>756</v>
      </c>
      <c r="D151" s="10" t="s">
        <v>422</v>
      </c>
      <c r="E151" s="11" t="s">
        <v>38</v>
      </c>
      <c r="F151" s="11" t="s">
        <v>757</v>
      </c>
      <c r="G151" s="11" t="s">
        <v>758</v>
      </c>
      <c r="H151" s="10" t="s">
        <v>759</v>
      </c>
      <c r="I151" s="10" t="s">
        <v>23</v>
      </c>
      <c r="J151" s="10" t="s">
        <v>79</v>
      </c>
      <c r="K151" s="8" t="s">
        <v>25</v>
      </c>
      <c r="L151" s="11"/>
      <c r="M151" s="9" t="s">
        <v>26</v>
      </c>
      <c r="N151" s="11"/>
    </row>
    <row r="152" customFormat="false" ht="18" hidden="false" customHeight="true" outlineLevel="0" collapsed="false">
      <c r="A152" s="5" t="n">
        <v>149</v>
      </c>
      <c r="B152" s="6" t="s">
        <v>760</v>
      </c>
      <c r="C152" s="6" t="s">
        <v>761</v>
      </c>
      <c r="D152" s="6" t="s">
        <v>29</v>
      </c>
      <c r="E152" s="7" t="s">
        <v>30</v>
      </c>
      <c r="F152" s="7" t="s">
        <v>762</v>
      </c>
      <c r="G152" s="7" t="s">
        <v>763</v>
      </c>
      <c r="H152" s="6" t="s">
        <v>764</v>
      </c>
      <c r="I152" s="6" t="s">
        <v>23</v>
      </c>
      <c r="J152" s="6" t="s">
        <v>79</v>
      </c>
      <c r="K152" s="8" t="s">
        <v>25</v>
      </c>
      <c r="L152" s="7"/>
      <c r="M152" s="9" t="s">
        <v>26</v>
      </c>
      <c r="N152" s="7"/>
    </row>
    <row r="153" customFormat="false" ht="18" hidden="false" customHeight="true" outlineLevel="0" collapsed="false">
      <c r="A153" s="5" t="n">
        <v>150</v>
      </c>
      <c r="B153" s="10" t="s">
        <v>765</v>
      </c>
      <c r="C153" s="10" t="s">
        <v>766</v>
      </c>
      <c r="D153" s="10" t="s">
        <v>93</v>
      </c>
      <c r="E153" s="11" t="s">
        <v>189</v>
      </c>
      <c r="F153" s="11" t="s">
        <v>767</v>
      </c>
      <c r="G153" s="11" t="s">
        <v>768</v>
      </c>
      <c r="H153" s="10" t="s">
        <v>769</v>
      </c>
      <c r="I153" s="10" t="s">
        <v>23</v>
      </c>
      <c r="J153" s="10" t="s">
        <v>111</v>
      </c>
      <c r="K153" s="8" t="s">
        <v>25</v>
      </c>
      <c r="L153" s="11"/>
      <c r="M153" s="12" t="s">
        <v>43</v>
      </c>
      <c r="N153" s="11"/>
    </row>
    <row r="154" customFormat="false" ht="18" hidden="false" customHeight="true" outlineLevel="0" collapsed="false">
      <c r="A154" s="5" t="n">
        <v>151</v>
      </c>
      <c r="B154" s="6" t="s">
        <v>770</v>
      </c>
      <c r="C154" s="6" t="s">
        <v>771</v>
      </c>
      <c r="D154" s="6" t="s">
        <v>209</v>
      </c>
      <c r="E154" s="7" t="s">
        <v>189</v>
      </c>
      <c r="F154" s="7" t="s">
        <v>772</v>
      </c>
      <c r="G154" s="7" t="s">
        <v>773</v>
      </c>
      <c r="H154" s="6" t="s">
        <v>774</v>
      </c>
      <c r="I154" s="6" t="s">
        <v>23</v>
      </c>
      <c r="J154" s="6" t="s">
        <v>79</v>
      </c>
      <c r="K154" s="8" t="s">
        <v>25</v>
      </c>
      <c r="L154" s="7"/>
      <c r="M154" s="12" t="s">
        <v>43</v>
      </c>
      <c r="N154" s="7"/>
    </row>
    <row r="155" customFormat="false" ht="18" hidden="false" customHeight="true" outlineLevel="0" collapsed="false">
      <c r="A155" s="5" t="n">
        <v>152</v>
      </c>
      <c r="B155" s="10" t="s">
        <v>775</v>
      </c>
      <c r="C155" s="10" t="s">
        <v>776</v>
      </c>
      <c r="D155" s="10" t="s">
        <v>182</v>
      </c>
      <c r="E155" s="11" t="s">
        <v>326</v>
      </c>
      <c r="F155" s="11" t="s">
        <v>777</v>
      </c>
      <c r="G155" s="11" t="s">
        <v>778</v>
      </c>
      <c r="H155" s="10" t="s">
        <v>779</v>
      </c>
      <c r="I155" s="10" t="s">
        <v>23</v>
      </c>
      <c r="J155" s="10" t="s">
        <v>24</v>
      </c>
      <c r="K155" s="8" t="s">
        <v>25</v>
      </c>
      <c r="L155" s="11"/>
      <c r="M155" s="12" t="s">
        <v>43</v>
      </c>
      <c r="N155" s="11"/>
    </row>
    <row r="156" customFormat="false" ht="18" hidden="false" customHeight="true" outlineLevel="0" collapsed="false">
      <c r="A156" s="5" t="n">
        <v>153</v>
      </c>
      <c r="B156" s="6" t="s">
        <v>780</v>
      </c>
      <c r="C156" s="6" t="s">
        <v>781</v>
      </c>
      <c r="D156" s="6" t="s">
        <v>151</v>
      </c>
      <c r="E156" s="7" t="s">
        <v>20</v>
      </c>
      <c r="F156" s="7" t="s">
        <v>782</v>
      </c>
      <c r="G156" s="7" t="s">
        <v>783</v>
      </c>
      <c r="H156" s="6" t="s">
        <v>23</v>
      </c>
      <c r="I156" s="6" t="s">
        <v>23</v>
      </c>
      <c r="J156" s="6" t="s">
        <v>111</v>
      </c>
      <c r="K156" s="8" t="s">
        <v>25</v>
      </c>
      <c r="L156" s="7"/>
      <c r="M156" s="9" t="s">
        <v>26</v>
      </c>
      <c r="N156" s="7"/>
    </row>
    <row r="157" customFormat="false" ht="18" hidden="false" customHeight="true" outlineLevel="0" collapsed="false">
      <c r="A157" s="5" t="n">
        <v>154</v>
      </c>
      <c r="B157" s="10" t="s">
        <v>784</v>
      </c>
      <c r="C157" s="10" t="s">
        <v>785</v>
      </c>
      <c r="D157" s="10" t="s">
        <v>19</v>
      </c>
      <c r="E157" s="11" t="s">
        <v>75</v>
      </c>
      <c r="F157" s="11" t="s">
        <v>786</v>
      </c>
      <c r="G157" s="11" t="s">
        <v>787</v>
      </c>
      <c r="H157" s="10" t="s">
        <v>788</v>
      </c>
      <c r="I157" s="10" t="s">
        <v>23</v>
      </c>
      <c r="J157" s="10" t="s">
        <v>34</v>
      </c>
      <c r="K157" s="8" t="s">
        <v>25</v>
      </c>
      <c r="L157" s="11"/>
      <c r="M157" s="9" t="s">
        <v>26</v>
      </c>
      <c r="N157" s="11"/>
    </row>
    <row r="158" customFormat="false" ht="18" hidden="false" customHeight="true" outlineLevel="0" collapsed="false">
      <c r="A158" s="5" t="n">
        <v>155</v>
      </c>
      <c r="B158" s="6" t="s">
        <v>789</v>
      </c>
      <c r="C158" s="6" t="s">
        <v>790</v>
      </c>
      <c r="D158" s="6" t="s">
        <v>209</v>
      </c>
      <c r="E158" s="7" t="s">
        <v>158</v>
      </c>
      <c r="F158" s="7" t="s">
        <v>791</v>
      </c>
      <c r="G158" s="7" t="s">
        <v>792</v>
      </c>
      <c r="H158" s="6" t="s">
        <v>793</v>
      </c>
      <c r="I158" s="6" t="s">
        <v>23</v>
      </c>
      <c r="J158" s="6" t="s">
        <v>111</v>
      </c>
      <c r="K158" s="8" t="s">
        <v>25</v>
      </c>
      <c r="L158" s="7"/>
      <c r="M158" s="9" t="s">
        <v>26</v>
      </c>
      <c r="N158" s="7"/>
    </row>
    <row r="159" customFormat="false" ht="18" hidden="false" customHeight="true" outlineLevel="0" collapsed="false">
      <c r="A159" s="5" t="n">
        <v>156</v>
      </c>
      <c r="B159" s="10" t="s">
        <v>794</v>
      </c>
      <c r="C159" s="10" t="s">
        <v>795</v>
      </c>
      <c r="D159" s="10" t="s">
        <v>198</v>
      </c>
      <c r="E159" s="11" t="s">
        <v>38</v>
      </c>
      <c r="F159" s="11" t="s">
        <v>796</v>
      </c>
      <c r="G159" s="11" t="s">
        <v>797</v>
      </c>
      <c r="H159" s="10" t="s">
        <v>798</v>
      </c>
      <c r="I159" s="10" t="s">
        <v>23</v>
      </c>
      <c r="J159" s="10" t="s">
        <v>58</v>
      </c>
      <c r="K159" s="8" t="s">
        <v>25</v>
      </c>
      <c r="L159" s="11"/>
      <c r="M159" s="8" t="s">
        <v>59</v>
      </c>
      <c r="N159" s="11"/>
    </row>
    <row r="160" customFormat="false" ht="18" hidden="false" customHeight="true" outlineLevel="0" collapsed="false">
      <c r="A160" s="5" t="n">
        <v>157</v>
      </c>
      <c r="B160" s="6" t="s">
        <v>799</v>
      </c>
      <c r="C160" s="6" t="s">
        <v>800</v>
      </c>
      <c r="D160" s="6" t="s">
        <v>316</v>
      </c>
      <c r="E160" s="7" t="s">
        <v>158</v>
      </c>
      <c r="F160" s="7" t="s">
        <v>801</v>
      </c>
      <c r="G160" s="7" t="s">
        <v>802</v>
      </c>
      <c r="H160" s="6" t="s">
        <v>23</v>
      </c>
      <c r="I160" s="6" t="s">
        <v>23</v>
      </c>
      <c r="J160" s="6" t="s">
        <v>97</v>
      </c>
      <c r="K160" s="8" t="s">
        <v>25</v>
      </c>
      <c r="L160" s="7"/>
      <c r="M160" s="9" t="s">
        <v>26</v>
      </c>
      <c r="N160" s="7"/>
    </row>
    <row r="161" customFormat="false" ht="18" hidden="false" customHeight="true" outlineLevel="0" collapsed="false">
      <c r="A161" s="5" t="n">
        <v>158</v>
      </c>
      <c r="B161" s="10" t="s">
        <v>803</v>
      </c>
      <c r="C161" s="10" t="s">
        <v>804</v>
      </c>
      <c r="D161" s="10" t="s">
        <v>125</v>
      </c>
      <c r="E161" s="11" t="s">
        <v>30</v>
      </c>
      <c r="F161" s="11" t="s">
        <v>805</v>
      </c>
      <c r="G161" s="11" t="s">
        <v>806</v>
      </c>
      <c r="H161" s="10" t="s">
        <v>807</v>
      </c>
      <c r="I161" s="10" t="s">
        <v>23</v>
      </c>
      <c r="J161" s="10" t="s">
        <v>79</v>
      </c>
      <c r="K161" s="8" t="s">
        <v>25</v>
      </c>
      <c r="L161" s="11"/>
      <c r="M161" s="12" t="s">
        <v>43</v>
      </c>
      <c r="N161" s="11"/>
    </row>
    <row r="162" customFormat="false" ht="18" hidden="false" customHeight="true" outlineLevel="0" collapsed="false">
      <c r="A162" s="5" t="n">
        <v>159</v>
      </c>
      <c r="B162" s="6" t="s">
        <v>808</v>
      </c>
      <c r="C162" s="6" t="s">
        <v>809</v>
      </c>
      <c r="D162" s="6" t="s">
        <v>62</v>
      </c>
      <c r="E162" s="7" t="s">
        <v>20</v>
      </c>
      <c r="F162" s="7" t="s">
        <v>810</v>
      </c>
      <c r="G162" s="7" t="s">
        <v>811</v>
      </c>
      <c r="H162" s="6" t="s">
        <v>812</v>
      </c>
      <c r="I162" s="6" t="s">
        <v>23</v>
      </c>
      <c r="J162" s="6" t="s">
        <v>79</v>
      </c>
      <c r="K162" s="8" t="s">
        <v>25</v>
      </c>
      <c r="L162" s="7"/>
      <c r="M162" s="9" t="s">
        <v>26</v>
      </c>
      <c r="N162" s="7"/>
    </row>
    <row r="163" customFormat="false" ht="18" hidden="false" customHeight="true" outlineLevel="0" collapsed="false">
      <c r="A163" s="5" t="n">
        <v>160</v>
      </c>
      <c r="B163" s="10" t="s">
        <v>813</v>
      </c>
      <c r="C163" s="10" t="s">
        <v>814</v>
      </c>
      <c r="D163" s="10" t="s">
        <v>316</v>
      </c>
      <c r="E163" s="11" t="s">
        <v>326</v>
      </c>
      <c r="F163" s="11" t="s">
        <v>815</v>
      </c>
      <c r="G163" s="11" t="s">
        <v>816</v>
      </c>
      <c r="H163" s="10" t="s">
        <v>817</v>
      </c>
      <c r="I163" s="10" t="s">
        <v>23</v>
      </c>
      <c r="J163" s="10" t="s">
        <v>34</v>
      </c>
      <c r="K163" s="8" t="s">
        <v>25</v>
      </c>
      <c r="L163" s="11"/>
      <c r="M163" s="12" t="s">
        <v>43</v>
      </c>
      <c r="N163" s="11"/>
    </row>
    <row r="164" customFormat="false" ht="18" hidden="false" customHeight="true" outlineLevel="0" collapsed="false">
      <c r="A164" s="5" t="n">
        <v>161</v>
      </c>
      <c r="B164" s="6" t="s">
        <v>818</v>
      </c>
      <c r="C164" s="6" t="s">
        <v>819</v>
      </c>
      <c r="D164" s="6" t="s">
        <v>135</v>
      </c>
      <c r="E164" s="7" t="s">
        <v>75</v>
      </c>
      <c r="F164" s="7" t="s">
        <v>820</v>
      </c>
      <c r="G164" s="7" t="s">
        <v>821</v>
      </c>
      <c r="H164" s="6" t="s">
        <v>23</v>
      </c>
      <c r="I164" s="6" t="s">
        <v>23</v>
      </c>
      <c r="J164" s="6" t="s">
        <v>34</v>
      </c>
      <c r="K164" s="8" t="s">
        <v>25</v>
      </c>
      <c r="L164" s="7"/>
      <c r="M164" s="12" t="s">
        <v>43</v>
      </c>
      <c r="N164" s="7"/>
    </row>
    <row r="165" customFormat="false" ht="18" hidden="false" customHeight="true" outlineLevel="0" collapsed="false">
      <c r="A165" s="5" t="n">
        <v>162</v>
      </c>
      <c r="B165" s="10" t="s">
        <v>822</v>
      </c>
      <c r="C165" s="10" t="s">
        <v>823</v>
      </c>
      <c r="D165" s="10" t="s">
        <v>106</v>
      </c>
      <c r="E165" s="11" t="s">
        <v>69</v>
      </c>
      <c r="F165" s="11" t="s">
        <v>824</v>
      </c>
      <c r="G165" s="11" t="s">
        <v>825</v>
      </c>
      <c r="H165" s="10" t="s">
        <v>23</v>
      </c>
      <c r="I165" s="10" t="s">
        <v>23</v>
      </c>
      <c r="J165" s="10" t="s">
        <v>79</v>
      </c>
      <c r="K165" s="8" t="s">
        <v>25</v>
      </c>
      <c r="L165" s="11"/>
      <c r="M165" s="9" t="s">
        <v>26</v>
      </c>
      <c r="N165" s="11"/>
    </row>
    <row r="166" customFormat="false" ht="18" hidden="false" customHeight="true" outlineLevel="0" collapsed="false">
      <c r="A166" s="5" t="n">
        <v>163</v>
      </c>
      <c r="B166" s="6" t="s">
        <v>826</v>
      </c>
      <c r="C166" s="6" t="s">
        <v>827</v>
      </c>
      <c r="D166" s="6" t="s">
        <v>125</v>
      </c>
      <c r="E166" s="7" t="s">
        <v>152</v>
      </c>
      <c r="F166" s="7" t="s">
        <v>828</v>
      </c>
      <c r="G166" s="7" t="s">
        <v>829</v>
      </c>
      <c r="H166" s="6" t="s">
        <v>830</v>
      </c>
      <c r="I166" s="6" t="s">
        <v>23</v>
      </c>
      <c r="J166" s="6" t="s">
        <v>111</v>
      </c>
      <c r="K166" s="8" t="s">
        <v>25</v>
      </c>
      <c r="L166" s="7"/>
      <c r="M166" s="12" t="s">
        <v>43</v>
      </c>
      <c r="N166" s="7"/>
    </row>
    <row r="167" customFormat="false" ht="18" hidden="false" customHeight="true" outlineLevel="0" collapsed="false">
      <c r="A167" s="5" t="n">
        <v>164</v>
      </c>
      <c r="B167" s="10" t="s">
        <v>831</v>
      </c>
      <c r="C167" s="10" t="s">
        <v>832</v>
      </c>
      <c r="D167" s="10" t="s">
        <v>53</v>
      </c>
      <c r="E167" s="11" t="s">
        <v>75</v>
      </c>
      <c r="F167" s="11" t="s">
        <v>833</v>
      </c>
      <c r="G167" s="11" t="s">
        <v>834</v>
      </c>
      <c r="H167" s="10" t="s">
        <v>23</v>
      </c>
      <c r="I167" s="10" t="s">
        <v>23</v>
      </c>
      <c r="J167" s="10" t="s">
        <v>58</v>
      </c>
      <c r="K167" s="8" t="s">
        <v>25</v>
      </c>
      <c r="L167" s="11"/>
      <c r="M167" s="9" t="s">
        <v>26</v>
      </c>
      <c r="N167" s="11"/>
    </row>
    <row r="168" customFormat="false" ht="18" hidden="false" customHeight="true" outlineLevel="0" collapsed="false">
      <c r="A168" s="5" t="n">
        <v>165</v>
      </c>
      <c r="B168" s="6" t="s">
        <v>835</v>
      </c>
      <c r="C168" s="6" t="s">
        <v>836</v>
      </c>
      <c r="D168" s="6" t="s">
        <v>198</v>
      </c>
      <c r="E168" s="7" t="s">
        <v>63</v>
      </c>
      <c r="F168" s="7" t="s">
        <v>837</v>
      </c>
      <c r="G168" s="7" t="s">
        <v>838</v>
      </c>
      <c r="H168" s="6" t="s">
        <v>839</v>
      </c>
      <c r="I168" s="6" t="s">
        <v>23</v>
      </c>
      <c r="J168" s="6" t="s">
        <v>58</v>
      </c>
      <c r="K168" s="8" t="s">
        <v>25</v>
      </c>
      <c r="L168" s="7"/>
      <c r="M168" s="9" t="s">
        <v>26</v>
      </c>
      <c r="N168" s="7"/>
    </row>
    <row r="169" customFormat="false" ht="18" hidden="false" customHeight="true" outlineLevel="0" collapsed="false">
      <c r="A169" s="5" t="n">
        <v>166</v>
      </c>
      <c r="B169" s="10" t="s">
        <v>840</v>
      </c>
      <c r="C169" s="10" t="s">
        <v>841</v>
      </c>
      <c r="D169" s="10" t="s">
        <v>340</v>
      </c>
      <c r="E169" s="11" t="s">
        <v>82</v>
      </c>
      <c r="F169" s="11" t="s">
        <v>842</v>
      </c>
      <c r="G169" s="11" t="s">
        <v>843</v>
      </c>
      <c r="H169" s="10" t="s">
        <v>844</v>
      </c>
      <c r="I169" s="10" t="s">
        <v>23</v>
      </c>
      <c r="J169" s="10" t="s">
        <v>42</v>
      </c>
      <c r="K169" s="8" t="s">
        <v>25</v>
      </c>
      <c r="L169" s="11"/>
      <c r="M169" s="9" t="s">
        <v>26</v>
      </c>
      <c r="N169" s="11"/>
    </row>
    <row r="170" customFormat="false" ht="18" hidden="false" customHeight="true" outlineLevel="0" collapsed="false">
      <c r="A170" s="5" t="n">
        <v>167</v>
      </c>
      <c r="B170" s="6" t="s">
        <v>845</v>
      </c>
      <c r="C170" s="6" t="s">
        <v>771</v>
      </c>
      <c r="D170" s="6" t="s">
        <v>46</v>
      </c>
      <c r="E170" s="7" t="s">
        <v>75</v>
      </c>
      <c r="F170" s="7" t="s">
        <v>846</v>
      </c>
      <c r="G170" s="7" t="s">
        <v>847</v>
      </c>
      <c r="H170" s="6" t="s">
        <v>23</v>
      </c>
      <c r="I170" s="6" t="s">
        <v>23</v>
      </c>
      <c r="J170" s="6" t="s">
        <v>276</v>
      </c>
      <c r="K170" s="8" t="s">
        <v>25</v>
      </c>
      <c r="L170" s="7"/>
      <c r="M170" s="9" t="s">
        <v>26</v>
      </c>
      <c r="N170" s="7"/>
    </row>
    <row r="171" customFormat="false" ht="18" hidden="false" customHeight="true" outlineLevel="0" collapsed="false">
      <c r="A171" s="5" t="n">
        <v>168</v>
      </c>
      <c r="B171" s="10" t="s">
        <v>848</v>
      </c>
      <c r="C171" s="10" t="s">
        <v>849</v>
      </c>
      <c r="D171" s="10" t="s">
        <v>254</v>
      </c>
      <c r="E171" s="11" t="s">
        <v>152</v>
      </c>
      <c r="F171" s="11" t="s">
        <v>850</v>
      </c>
      <c r="G171" s="11" t="s">
        <v>851</v>
      </c>
      <c r="H171" s="10" t="s">
        <v>852</v>
      </c>
      <c r="I171" s="10" t="s">
        <v>23</v>
      </c>
      <c r="J171" s="10" t="s">
        <v>42</v>
      </c>
      <c r="K171" s="8" t="s">
        <v>25</v>
      </c>
      <c r="L171" s="11"/>
      <c r="M171" s="12" t="s">
        <v>43</v>
      </c>
      <c r="N171" s="11"/>
    </row>
    <row r="172" customFormat="false" ht="18" hidden="false" customHeight="true" outlineLevel="0" collapsed="false">
      <c r="A172" s="5" t="n">
        <v>169</v>
      </c>
      <c r="B172" s="6" t="s">
        <v>853</v>
      </c>
      <c r="C172" s="6" t="s">
        <v>854</v>
      </c>
      <c r="D172" s="6" t="s">
        <v>146</v>
      </c>
      <c r="E172" s="7" t="s">
        <v>107</v>
      </c>
      <c r="F172" s="7" t="s">
        <v>855</v>
      </c>
      <c r="G172" s="7" t="s">
        <v>856</v>
      </c>
      <c r="H172" s="6" t="s">
        <v>23</v>
      </c>
      <c r="I172" s="6" t="s">
        <v>23</v>
      </c>
      <c r="J172" s="6" t="s">
        <v>24</v>
      </c>
      <c r="K172" s="8" t="s">
        <v>25</v>
      </c>
      <c r="L172" s="7"/>
      <c r="M172" s="12" t="s">
        <v>43</v>
      </c>
      <c r="N172" s="7"/>
    </row>
    <row r="173" customFormat="false" ht="18" hidden="false" customHeight="true" outlineLevel="0" collapsed="false">
      <c r="A173" s="5" t="n">
        <v>170</v>
      </c>
      <c r="B173" s="10" t="s">
        <v>857</v>
      </c>
      <c r="C173" s="10" t="s">
        <v>858</v>
      </c>
      <c r="D173" s="10" t="s">
        <v>37</v>
      </c>
      <c r="E173" s="11" t="s">
        <v>47</v>
      </c>
      <c r="F173" s="11" t="s">
        <v>859</v>
      </c>
      <c r="G173" s="11" t="s">
        <v>860</v>
      </c>
      <c r="H173" s="10" t="s">
        <v>861</v>
      </c>
      <c r="I173" s="10" t="s">
        <v>23</v>
      </c>
      <c r="J173" s="10" t="s">
        <v>42</v>
      </c>
      <c r="K173" s="8" t="s">
        <v>25</v>
      </c>
      <c r="L173" s="11"/>
      <c r="M173" s="9" t="s">
        <v>26</v>
      </c>
      <c r="N173" s="11"/>
    </row>
    <row r="174" customFormat="false" ht="18" hidden="false" customHeight="true" outlineLevel="0" collapsed="false">
      <c r="A174" s="5" t="n">
        <v>171</v>
      </c>
      <c r="B174" s="6" t="s">
        <v>862</v>
      </c>
      <c r="C174" s="6" t="s">
        <v>863</v>
      </c>
      <c r="D174" s="6" t="s">
        <v>146</v>
      </c>
      <c r="E174" s="7" t="s">
        <v>152</v>
      </c>
      <c r="F174" s="7" t="s">
        <v>864</v>
      </c>
      <c r="G174" s="7" t="s">
        <v>865</v>
      </c>
      <c r="H174" s="6" t="s">
        <v>866</v>
      </c>
      <c r="I174" s="6" t="s">
        <v>23</v>
      </c>
      <c r="J174" s="6" t="s">
        <v>506</v>
      </c>
      <c r="K174" s="8" t="s">
        <v>25</v>
      </c>
      <c r="L174" s="7"/>
      <c r="M174" s="8" t="s">
        <v>59</v>
      </c>
      <c r="N174" s="7"/>
    </row>
    <row r="175" customFormat="false" ht="18" hidden="false" customHeight="true" outlineLevel="0" collapsed="false">
      <c r="A175" s="5" t="n">
        <v>172</v>
      </c>
      <c r="B175" s="10" t="s">
        <v>867</v>
      </c>
      <c r="C175" s="10" t="s">
        <v>868</v>
      </c>
      <c r="D175" s="10" t="s">
        <v>53</v>
      </c>
      <c r="E175" s="11" t="s">
        <v>82</v>
      </c>
      <c r="F175" s="11" t="s">
        <v>869</v>
      </c>
      <c r="G175" s="11" t="s">
        <v>870</v>
      </c>
      <c r="H175" s="10" t="s">
        <v>871</v>
      </c>
      <c r="I175" s="10" t="s">
        <v>23</v>
      </c>
      <c r="J175" s="10" t="s">
        <v>79</v>
      </c>
      <c r="K175" s="8" t="s">
        <v>25</v>
      </c>
      <c r="L175" s="11"/>
      <c r="M175" s="9" t="s">
        <v>26</v>
      </c>
      <c r="N175" s="11"/>
    </row>
    <row r="176" customFormat="false" ht="18" hidden="false" customHeight="true" outlineLevel="0" collapsed="false">
      <c r="A176" s="5" t="n">
        <v>173</v>
      </c>
      <c r="B176" s="6" t="s">
        <v>872</v>
      </c>
      <c r="C176" s="6" t="s">
        <v>873</v>
      </c>
      <c r="D176" s="6" t="s">
        <v>93</v>
      </c>
      <c r="E176" s="7" t="s">
        <v>82</v>
      </c>
      <c r="F176" s="7" t="s">
        <v>874</v>
      </c>
      <c r="G176" s="7" t="s">
        <v>875</v>
      </c>
      <c r="H176" s="6" t="s">
        <v>876</v>
      </c>
      <c r="I176" s="6" t="s">
        <v>23</v>
      </c>
      <c r="J176" s="6" t="s">
        <v>97</v>
      </c>
      <c r="K176" s="8" t="s">
        <v>25</v>
      </c>
      <c r="L176" s="7"/>
      <c r="M176" s="8" t="s">
        <v>59</v>
      </c>
      <c r="N176" s="7"/>
    </row>
    <row r="177" customFormat="false" ht="18" hidden="false" customHeight="true" outlineLevel="0" collapsed="false">
      <c r="A177" s="5" t="n">
        <v>174</v>
      </c>
      <c r="B177" s="10" t="s">
        <v>877</v>
      </c>
      <c r="C177" s="10" t="s">
        <v>878</v>
      </c>
      <c r="D177" s="10" t="s">
        <v>198</v>
      </c>
      <c r="E177" s="11" t="s">
        <v>54</v>
      </c>
      <c r="F177" s="11" t="s">
        <v>879</v>
      </c>
      <c r="G177" s="11" t="s">
        <v>880</v>
      </c>
      <c r="H177" s="10" t="s">
        <v>23</v>
      </c>
      <c r="I177" s="10" t="s">
        <v>23</v>
      </c>
      <c r="J177" s="10" t="s">
        <v>58</v>
      </c>
      <c r="K177" s="8" t="s">
        <v>25</v>
      </c>
      <c r="L177" s="11"/>
      <c r="M177" s="9" t="s">
        <v>26</v>
      </c>
      <c r="N177" s="11"/>
    </row>
    <row r="178" customFormat="false" ht="18" hidden="false" customHeight="true" outlineLevel="0" collapsed="false">
      <c r="A178" s="5" t="n">
        <v>175</v>
      </c>
      <c r="B178" s="6" t="s">
        <v>881</v>
      </c>
      <c r="C178" s="6" t="s">
        <v>882</v>
      </c>
      <c r="D178" s="6" t="s">
        <v>254</v>
      </c>
      <c r="E178" s="7" t="s">
        <v>38</v>
      </c>
      <c r="F178" s="7" t="s">
        <v>883</v>
      </c>
      <c r="G178" s="7" t="s">
        <v>884</v>
      </c>
      <c r="H178" s="6" t="s">
        <v>885</v>
      </c>
      <c r="I178" s="6" t="s">
        <v>23</v>
      </c>
      <c r="J178" s="6" t="s">
        <v>42</v>
      </c>
      <c r="K178" s="8" t="s">
        <v>25</v>
      </c>
      <c r="L178" s="7"/>
      <c r="M178" s="9" t="s">
        <v>26</v>
      </c>
      <c r="N178" s="7"/>
    </row>
    <row r="179" customFormat="false" ht="18" hidden="false" customHeight="true" outlineLevel="0" collapsed="false">
      <c r="A179" s="5" t="n">
        <v>176</v>
      </c>
      <c r="B179" s="10" t="s">
        <v>886</v>
      </c>
      <c r="C179" s="10" t="s">
        <v>795</v>
      </c>
      <c r="D179" s="10" t="s">
        <v>62</v>
      </c>
      <c r="E179" s="11" t="s">
        <v>69</v>
      </c>
      <c r="F179" s="11" t="s">
        <v>887</v>
      </c>
      <c r="G179" s="11" t="s">
        <v>888</v>
      </c>
      <c r="H179" s="10" t="s">
        <v>889</v>
      </c>
      <c r="I179" s="10" t="s">
        <v>23</v>
      </c>
      <c r="J179" s="10" t="s">
        <v>42</v>
      </c>
      <c r="K179" s="8" t="s">
        <v>25</v>
      </c>
      <c r="L179" s="11"/>
      <c r="M179" s="9" t="s">
        <v>26</v>
      </c>
      <c r="N179" s="11"/>
    </row>
    <row r="180" customFormat="false" ht="18" hidden="false" customHeight="true" outlineLevel="0" collapsed="false">
      <c r="A180" s="5" t="n">
        <v>177</v>
      </c>
      <c r="B180" s="6" t="s">
        <v>890</v>
      </c>
      <c r="C180" s="6" t="s">
        <v>891</v>
      </c>
      <c r="D180" s="6" t="s">
        <v>422</v>
      </c>
      <c r="E180" s="7" t="s">
        <v>152</v>
      </c>
      <c r="F180" s="7" t="s">
        <v>892</v>
      </c>
      <c r="G180" s="7" t="s">
        <v>893</v>
      </c>
      <c r="H180" s="6" t="s">
        <v>894</v>
      </c>
      <c r="I180" s="6" t="s">
        <v>23</v>
      </c>
      <c r="J180" s="6" t="s">
        <v>24</v>
      </c>
      <c r="K180" s="8" t="s">
        <v>25</v>
      </c>
      <c r="L180" s="7"/>
      <c r="M180" s="9" t="s">
        <v>26</v>
      </c>
      <c r="N180" s="7"/>
    </row>
    <row r="181" customFormat="false" ht="18" hidden="false" customHeight="true" outlineLevel="0" collapsed="false">
      <c r="A181" s="5" t="n">
        <v>178</v>
      </c>
      <c r="B181" s="10" t="s">
        <v>895</v>
      </c>
      <c r="C181" s="10" t="s">
        <v>863</v>
      </c>
      <c r="D181" s="10" t="s">
        <v>37</v>
      </c>
      <c r="E181" s="11" t="s">
        <v>326</v>
      </c>
      <c r="F181" s="11" t="s">
        <v>896</v>
      </c>
      <c r="G181" s="11" t="s">
        <v>897</v>
      </c>
      <c r="H181" s="10" t="s">
        <v>898</v>
      </c>
      <c r="I181" s="10" t="s">
        <v>23</v>
      </c>
      <c r="J181" s="10" t="s">
        <v>24</v>
      </c>
      <c r="K181" s="8" t="s">
        <v>25</v>
      </c>
      <c r="L181" s="11"/>
      <c r="M181" s="9" t="s">
        <v>26</v>
      </c>
      <c r="N181" s="11"/>
    </row>
    <row r="182" customFormat="false" ht="18" hidden="false" customHeight="true" outlineLevel="0" collapsed="false">
      <c r="A182" s="5" t="n">
        <v>179</v>
      </c>
      <c r="B182" s="6" t="s">
        <v>899</v>
      </c>
      <c r="C182" s="6" t="s">
        <v>900</v>
      </c>
      <c r="D182" s="6" t="s">
        <v>135</v>
      </c>
      <c r="E182" s="7" t="s">
        <v>183</v>
      </c>
      <c r="F182" s="7" t="s">
        <v>901</v>
      </c>
      <c r="G182" s="7" t="s">
        <v>902</v>
      </c>
      <c r="H182" s="6" t="s">
        <v>23</v>
      </c>
      <c r="I182" s="6" t="s">
        <v>23</v>
      </c>
      <c r="J182" s="6" t="s">
        <v>34</v>
      </c>
      <c r="K182" s="8" t="s">
        <v>25</v>
      </c>
      <c r="L182" s="7"/>
      <c r="M182" s="8" t="s">
        <v>59</v>
      </c>
      <c r="N182" s="7"/>
    </row>
    <row r="183" customFormat="false" ht="18" hidden="false" customHeight="true" outlineLevel="0" collapsed="false">
      <c r="A183" s="5" t="n">
        <v>180</v>
      </c>
      <c r="B183" s="10" t="s">
        <v>903</v>
      </c>
      <c r="C183" s="10" t="s">
        <v>904</v>
      </c>
      <c r="D183" s="10" t="s">
        <v>37</v>
      </c>
      <c r="E183" s="11" t="s">
        <v>107</v>
      </c>
      <c r="F183" s="11" t="s">
        <v>905</v>
      </c>
      <c r="G183" s="11" t="s">
        <v>906</v>
      </c>
      <c r="H183" s="10" t="s">
        <v>23</v>
      </c>
      <c r="I183" s="10" t="s">
        <v>23</v>
      </c>
      <c r="J183" s="10" t="s">
        <v>97</v>
      </c>
      <c r="K183" s="8" t="s">
        <v>25</v>
      </c>
      <c r="L183" s="11"/>
      <c r="M183" s="9" t="s">
        <v>26</v>
      </c>
      <c r="N183" s="11"/>
    </row>
    <row r="184" customFormat="false" ht="18" hidden="false" customHeight="true" outlineLevel="0" collapsed="false">
      <c r="A184" s="5" t="n">
        <v>181</v>
      </c>
      <c r="B184" s="6" t="s">
        <v>907</v>
      </c>
      <c r="C184" s="6" t="s">
        <v>908</v>
      </c>
      <c r="D184" s="6" t="s">
        <v>19</v>
      </c>
      <c r="E184" s="7" t="s">
        <v>326</v>
      </c>
      <c r="F184" s="7" t="s">
        <v>909</v>
      </c>
      <c r="G184" s="7" t="s">
        <v>910</v>
      </c>
      <c r="H184" s="6" t="s">
        <v>911</v>
      </c>
      <c r="I184" s="6" t="s">
        <v>23</v>
      </c>
      <c r="J184" s="6" t="s">
        <v>506</v>
      </c>
      <c r="K184" s="8" t="s">
        <v>25</v>
      </c>
      <c r="L184" s="7"/>
      <c r="M184" s="9" t="s">
        <v>26</v>
      </c>
      <c r="N184" s="7"/>
    </row>
    <row r="185" customFormat="false" ht="18" hidden="false" customHeight="true" outlineLevel="0" collapsed="false">
      <c r="A185" s="5" t="n">
        <v>182</v>
      </c>
      <c r="B185" s="10" t="s">
        <v>912</v>
      </c>
      <c r="C185" s="10" t="s">
        <v>913</v>
      </c>
      <c r="D185" s="10" t="s">
        <v>87</v>
      </c>
      <c r="E185" s="11" t="s">
        <v>20</v>
      </c>
      <c r="F185" s="11" t="s">
        <v>914</v>
      </c>
      <c r="G185" s="11" t="s">
        <v>915</v>
      </c>
      <c r="H185" s="10" t="s">
        <v>916</v>
      </c>
      <c r="I185" s="10" t="s">
        <v>23</v>
      </c>
      <c r="J185" s="10" t="s">
        <v>276</v>
      </c>
      <c r="K185" s="8" t="s">
        <v>25</v>
      </c>
      <c r="L185" s="11"/>
      <c r="M185" s="12" t="s">
        <v>43</v>
      </c>
      <c r="N185" s="11"/>
    </row>
    <row r="186" customFormat="false" ht="18" hidden="false" customHeight="true" outlineLevel="0" collapsed="false">
      <c r="A186" s="5" t="n">
        <v>183</v>
      </c>
      <c r="B186" s="6" t="s">
        <v>917</v>
      </c>
      <c r="C186" s="6" t="s">
        <v>918</v>
      </c>
      <c r="D186" s="6" t="s">
        <v>422</v>
      </c>
      <c r="E186" s="7" t="s">
        <v>69</v>
      </c>
      <c r="F186" s="7" t="s">
        <v>919</v>
      </c>
      <c r="G186" s="7" t="s">
        <v>920</v>
      </c>
      <c r="H186" s="6" t="s">
        <v>921</v>
      </c>
      <c r="I186" s="6" t="s">
        <v>23</v>
      </c>
      <c r="J186" s="6" t="s">
        <v>79</v>
      </c>
      <c r="K186" s="8" t="s">
        <v>25</v>
      </c>
      <c r="L186" s="7"/>
      <c r="M186" s="12" t="s">
        <v>43</v>
      </c>
      <c r="N186" s="7"/>
    </row>
    <row r="187" customFormat="false" ht="18" hidden="false" customHeight="true" outlineLevel="0" collapsed="false">
      <c r="A187" s="5" t="n">
        <v>184</v>
      </c>
      <c r="B187" s="10" t="s">
        <v>922</v>
      </c>
      <c r="C187" s="10" t="s">
        <v>923</v>
      </c>
      <c r="D187" s="10" t="s">
        <v>135</v>
      </c>
      <c r="E187" s="11" t="s">
        <v>69</v>
      </c>
      <c r="F187" s="11" t="s">
        <v>924</v>
      </c>
      <c r="G187" s="11" t="s">
        <v>925</v>
      </c>
      <c r="H187" s="10" t="s">
        <v>926</v>
      </c>
      <c r="I187" s="10" t="s">
        <v>23</v>
      </c>
      <c r="J187" s="10" t="s">
        <v>42</v>
      </c>
      <c r="K187" s="8" t="s">
        <v>25</v>
      </c>
      <c r="L187" s="11"/>
      <c r="M187" s="12" t="s">
        <v>43</v>
      </c>
      <c r="N187" s="11"/>
    </row>
    <row r="188" customFormat="false" ht="18" hidden="false" customHeight="true" outlineLevel="0" collapsed="false">
      <c r="A188" s="5" t="n">
        <v>185</v>
      </c>
      <c r="B188" s="6" t="s">
        <v>927</v>
      </c>
      <c r="C188" s="6" t="s">
        <v>928</v>
      </c>
      <c r="D188" s="6" t="s">
        <v>168</v>
      </c>
      <c r="E188" s="7" t="s">
        <v>183</v>
      </c>
      <c r="F188" s="7" t="s">
        <v>929</v>
      </c>
      <c r="G188" s="7" t="s">
        <v>930</v>
      </c>
      <c r="H188" s="6" t="s">
        <v>23</v>
      </c>
      <c r="I188" s="6" t="s">
        <v>23</v>
      </c>
      <c r="J188" s="6" t="s">
        <v>276</v>
      </c>
      <c r="K188" s="8" t="s">
        <v>25</v>
      </c>
      <c r="L188" s="7"/>
      <c r="M188" s="9" t="s">
        <v>26</v>
      </c>
      <c r="N188" s="7"/>
    </row>
    <row r="189" customFormat="false" ht="18" hidden="false" customHeight="true" outlineLevel="0" collapsed="false">
      <c r="A189" s="5" t="n">
        <v>186</v>
      </c>
      <c r="B189" s="10" t="s">
        <v>931</v>
      </c>
      <c r="C189" s="10" t="s">
        <v>932</v>
      </c>
      <c r="D189" s="10" t="s">
        <v>340</v>
      </c>
      <c r="E189" s="11" t="s">
        <v>47</v>
      </c>
      <c r="F189" s="11" t="s">
        <v>933</v>
      </c>
      <c r="G189" s="11" t="s">
        <v>934</v>
      </c>
      <c r="H189" s="10" t="s">
        <v>935</v>
      </c>
      <c r="I189" s="10" t="s">
        <v>23</v>
      </c>
      <c r="J189" s="10" t="s">
        <v>506</v>
      </c>
      <c r="K189" s="8" t="s">
        <v>25</v>
      </c>
      <c r="L189" s="11"/>
      <c r="M189" s="9" t="s">
        <v>26</v>
      </c>
      <c r="N189" s="11"/>
    </row>
    <row r="190" customFormat="false" ht="18" hidden="false" customHeight="true" outlineLevel="0" collapsed="false">
      <c r="A190" s="5" t="n">
        <v>187</v>
      </c>
      <c r="B190" s="6" t="s">
        <v>936</v>
      </c>
      <c r="C190" s="6" t="s">
        <v>937</v>
      </c>
      <c r="D190" s="6" t="s">
        <v>209</v>
      </c>
      <c r="E190" s="7" t="s">
        <v>82</v>
      </c>
      <c r="F190" s="7" t="s">
        <v>938</v>
      </c>
      <c r="G190" s="7" t="s">
        <v>939</v>
      </c>
      <c r="H190" s="6" t="s">
        <v>940</v>
      </c>
      <c r="I190" s="6" t="s">
        <v>23</v>
      </c>
      <c r="J190" s="6" t="s">
        <v>506</v>
      </c>
      <c r="K190" s="8" t="s">
        <v>25</v>
      </c>
      <c r="L190" s="7"/>
      <c r="M190" s="9" t="s">
        <v>26</v>
      </c>
      <c r="N190" s="7"/>
    </row>
    <row r="191" customFormat="false" ht="18" hidden="false" customHeight="true" outlineLevel="0" collapsed="false">
      <c r="A191" s="5" t="n">
        <v>188</v>
      </c>
      <c r="B191" s="10" t="s">
        <v>941</v>
      </c>
      <c r="C191" s="10" t="s">
        <v>942</v>
      </c>
      <c r="D191" s="10" t="s">
        <v>182</v>
      </c>
      <c r="E191" s="11" t="s">
        <v>69</v>
      </c>
      <c r="F191" s="11" t="s">
        <v>943</v>
      </c>
      <c r="G191" s="11" t="s">
        <v>944</v>
      </c>
      <c r="H191" s="10" t="s">
        <v>23</v>
      </c>
      <c r="I191" s="10" t="s">
        <v>23</v>
      </c>
      <c r="J191" s="10" t="s">
        <v>42</v>
      </c>
      <c r="K191" s="8" t="s">
        <v>25</v>
      </c>
      <c r="L191" s="11"/>
      <c r="M191" s="9" t="s">
        <v>26</v>
      </c>
      <c r="N191" s="11"/>
    </row>
    <row r="192" customFormat="false" ht="18" hidden="false" customHeight="true" outlineLevel="0" collapsed="false">
      <c r="A192" s="5" t="n">
        <v>189</v>
      </c>
      <c r="B192" s="6" t="s">
        <v>945</v>
      </c>
      <c r="C192" s="6" t="s">
        <v>946</v>
      </c>
      <c r="D192" s="6" t="s">
        <v>301</v>
      </c>
      <c r="E192" s="7" t="s">
        <v>189</v>
      </c>
      <c r="F192" s="7" t="s">
        <v>947</v>
      </c>
      <c r="G192" s="7" t="s">
        <v>948</v>
      </c>
      <c r="H192" s="6" t="s">
        <v>23</v>
      </c>
      <c r="I192" s="6" t="s">
        <v>23</v>
      </c>
      <c r="J192" s="6" t="s">
        <v>58</v>
      </c>
      <c r="K192" s="8" t="s">
        <v>25</v>
      </c>
      <c r="L192" s="7"/>
      <c r="M192" s="12" t="s">
        <v>43</v>
      </c>
      <c r="N192" s="7"/>
    </row>
    <row r="193" customFormat="false" ht="18" hidden="false" customHeight="true" outlineLevel="0" collapsed="false">
      <c r="A193" s="5" t="n">
        <v>190</v>
      </c>
      <c r="B193" s="10" t="s">
        <v>949</v>
      </c>
      <c r="C193" s="10" t="s">
        <v>950</v>
      </c>
      <c r="D193" s="10" t="s">
        <v>37</v>
      </c>
      <c r="E193" s="11" t="s">
        <v>69</v>
      </c>
      <c r="F193" s="11" t="s">
        <v>951</v>
      </c>
      <c r="G193" s="11" t="s">
        <v>952</v>
      </c>
      <c r="H193" s="10" t="s">
        <v>953</v>
      </c>
      <c r="I193" s="10" t="s">
        <v>23</v>
      </c>
      <c r="J193" s="10" t="s">
        <v>34</v>
      </c>
      <c r="K193" s="8" t="s">
        <v>25</v>
      </c>
      <c r="L193" s="11"/>
      <c r="M193" s="9" t="s">
        <v>26</v>
      </c>
      <c r="N193" s="11"/>
    </row>
    <row r="194" customFormat="false" ht="18" hidden="false" customHeight="true" outlineLevel="0" collapsed="false">
      <c r="A194" s="5" t="n">
        <v>191</v>
      </c>
      <c r="B194" s="6" t="s">
        <v>954</v>
      </c>
      <c r="C194" s="6" t="s">
        <v>955</v>
      </c>
      <c r="D194" s="6" t="s">
        <v>19</v>
      </c>
      <c r="E194" s="7" t="s">
        <v>69</v>
      </c>
      <c r="F194" s="7" t="s">
        <v>956</v>
      </c>
      <c r="G194" s="7" t="s">
        <v>957</v>
      </c>
      <c r="H194" s="6" t="s">
        <v>958</v>
      </c>
      <c r="I194" s="6" t="s">
        <v>23</v>
      </c>
      <c r="J194" s="6" t="s">
        <v>97</v>
      </c>
      <c r="K194" s="8" t="s">
        <v>25</v>
      </c>
      <c r="L194" s="7"/>
      <c r="M194" s="9" t="s">
        <v>26</v>
      </c>
      <c r="N194" s="7"/>
    </row>
    <row r="195" customFormat="false" ht="18" hidden="false" customHeight="true" outlineLevel="0" collapsed="false">
      <c r="A195" s="5" t="n">
        <v>192</v>
      </c>
      <c r="B195" s="10" t="s">
        <v>959</v>
      </c>
      <c r="C195" s="10" t="s">
        <v>960</v>
      </c>
      <c r="D195" s="10" t="s">
        <v>106</v>
      </c>
      <c r="E195" s="11" t="s">
        <v>107</v>
      </c>
      <c r="F195" s="11" t="s">
        <v>961</v>
      </c>
      <c r="G195" s="11" t="s">
        <v>962</v>
      </c>
      <c r="H195" s="10" t="s">
        <v>963</v>
      </c>
      <c r="I195" s="10" t="s">
        <v>23</v>
      </c>
      <c r="J195" s="10" t="s">
        <v>111</v>
      </c>
      <c r="K195" s="8" t="s">
        <v>25</v>
      </c>
      <c r="L195" s="11"/>
      <c r="M195" s="9" t="s">
        <v>26</v>
      </c>
      <c r="N195" s="11"/>
    </row>
    <row r="196" customFormat="false" ht="18" hidden="false" customHeight="true" outlineLevel="0" collapsed="false">
      <c r="A196" s="5" t="n">
        <v>193</v>
      </c>
      <c r="B196" s="6" t="s">
        <v>964</v>
      </c>
      <c r="C196" s="6" t="s">
        <v>965</v>
      </c>
      <c r="D196" s="6" t="s">
        <v>168</v>
      </c>
      <c r="E196" s="7" t="s">
        <v>47</v>
      </c>
      <c r="F196" s="7" t="s">
        <v>966</v>
      </c>
      <c r="G196" s="7" t="s">
        <v>967</v>
      </c>
      <c r="H196" s="6" t="s">
        <v>968</v>
      </c>
      <c r="I196" s="6" t="s">
        <v>23</v>
      </c>
      <c r="J196" s="6" t="s">
        <v>42</v>
      </c>
      <c r="K196" s="8" t="s">
        <v>25</v>
      </c>
      <c r="L196" s="7"/>
      <c r="M196" s="12" t="s">
        <v>43</v>
      </c>
      <c r="N196" s="7"/>
    </row>
    <row r="197" customFormat="false" ht="18" hidden="false" customHeight="true" outlineLevel="0" collapsed="false">
      <c r="A197" s="5" t="n">
        <v>194</v>
      </c>
      <c r="B197" s="10" t="s">
        <v>969</v>
      </c>
      <c r="C197" s="10" t="s">
        <v>970</v>
      </c>
      <c r="D197" s="10" t="s">
        <v>46</v>
      </c>
      <c r="E197" s="11" t="s">
        <v>54</v>
      </c>
      <c r="F197" s="11" t="s">
        <v>971</v>
      </c>
      <c r="G197" s="11" t="s">
        <v>972</v>
      </c>
      <c r="H197" s="10" t="s">
        <v>973</v>
      </c>
      <c r="I197" s="10" t="s">
        <v>23</v>
      </c>
      <c r="J197" s="10" t="s">
        <v>42</v>
      </c>
      <c r="K197" s="8" t="s">
        <v>25</v>
      </c>
      <c r="L197" s="11"/>
      <c r="M197" s="9" t="s">
        <v>26</v>
      </c>
      <c r="N197" s="11"/>
    </row>
    <row r="198" customFormat="false" ht="18" hidden="false" customHeight="true" outlineLevel="0" collapsed="false">
      <c r="A198" s="5" t="n">
        <v>195</v>
      </c>
      <c r="B198" s="6" t="s">
        <v>974</v>
      </c>
      <c r="C198" s="6" t="s">
        <v>975</v>
      </c>
      <c r="D198" s="6" t="s">
        <v>46</v>
      </c>
      <c r="E198" s="7" t="s">
        <v>183</v>
      </c>
      <c r="F198" s="7" t="s">
        <v>976</v>
      </c>
      <c r="G198" s="7" t="s">
        <v>977</v>
      </c>
      <c r="H198" s="6" t="s">
        <v>23</v>
      </c>
      <c r="I198" s="6" t="s">
        <v>23</v>
      </c>
      <c r="J198" s="6" t="s">
        <v>97</v>
      </c>
      <c r="K198" s="8" t="s">
        <v>25</v>
      </c>
      <c r="L198" s="7"/>
      <c r="M198" s="8" t="s">
        <v>59</v>
      </c>
      <c r="N198" s="7"/>
    </row>
    <row r="199" customFormat="false" ht="18" hidden="false" customHeight="true" outlineLevel="0" collapsed="false">
      <c r="A199" s="5" t="n">
        <v>196</v>
      </c>
      <c r="B199" s="10" t="s">
        <v>978</v>
      </c>
      <c r="C199" s="10" t="s">
        <v>52</v>
      </c>
      <c r="D199" s="10" t="s">
        <v>100</v>
      </c>
      <c r="E199" s="11" t="s">
        <v>30</v>
      </c>
      <c r="F199" s="11" t="s">
        <v>979</v>
      </c>
      <c r="G199" s="11" t="s">
        <v>980</v>
      </c>
      <c r="H199" s="10" t="s">
        <v>981</v>
      </c>
      <c r="I199" s="10" t="s">
        <v>23</v>
      </c>
      <c r="J199" s="10" t="s">
        <v>58</v>
      </c>
      <c r="K199" s="8" t="s">
        <v>25</v>
      </c>
      <c r="L199" s="11"/>
      <c r="M199" s="9" t="s">
        <v>26</v>
      </c>
      <c r="N199" s="11"/>
    </row>
    <row r="200" customFormat="false" ht="18" hidden="false" customHeight="true" outlineLevel="0" collapsed="false">
      <c r="A200" s="5" t="n">
        <v>197</v>
      </c>
      <c r="B200" s="6" t="s">
        <v>982</v>
      </c>
      <c r="C200" s="6" t="s">
        <v>983</v>
      </c>
      <c r="D200" s="6" t="s">
        <v>301</v>
      </c>
      <c r="E200" s="7" t="s">
        <v>183</v>
      </c>
      <c r="F200" s="7" t="s">
        <v>984</v>
      </c>
      <c r="G200" s="7" t="s">
        <v>985</v>
      </c>
      <c r="H200" s="6" t="s">
        <v>986</v>
      </c>
      <c r="I200" s="6" t="s">
        <v>23</v>
      </c>
      <c r="J200" s="6" t="s">
        <v>111</v>
      </c>
      <c r="K200" s="8" t="s">
        <v>25</v>
      </c>
      <c r="L200" s="7"/>
      <c r="M200" s="9" t="s">
        <v>26</v>
      </c>
      <c r="N200" s="7"/>
    </row>
    <row r="201" customFormat="false" ht="18" hidden="false" customHeight="true" outlineLevel="0" collapsed="false">
      <c r="A201" s="5" t="n">
        <v>198</v>
      </c>
      <c r="B201" s="10" t="s">
        <v>987</v>
      </c>
      <c r="C201" s="10" t="s">
        <v>988</v>
      </c>
      <c r="D201" s="10" t="s">
        <v>151</v>
      </c>
      <c r="E201" s="11" t="s">
        <v>158</v>
      </c>
      <c r="F201" s="11" t="s">
        <v>989</v>
      </c>
      <c r="G201" s="11" t="s">
        <v>990</v>
      </c>
      <c r="H201" s="10" t="s">
        <v>23</v>
      </c>
      <c r="I201" s="10" t="s">
        <v>23</v>
      </c>
      <c r="J201" s="10" t="s">
        <v>58</v>
      </c>
      <c r="K201" s="8" t="s">
        <v>25</v>
      </c>
      <c r="L201" s="11"/>
      <c r="M201" s="8" t="s">
        <v>59</v>
      </c>
      <c r="N201" s="11"/>
    </row>
    <row r="202" customFormat="false" ht="18" hidden="false" customHeight="true" outlineLevel="0" collapsed="false">
      <c r="A202" s="5" t="n">
        <v>199</v>
      </c>
      <c r="B202" s="6" t="s">
        <v>991</v>
      </c>
      <c r="C202" s="6" t="s">
        <v>992</v>
      </c>
      <c r="D202" s="6" t="s">
        <v>46</v>
      </c>
      <c r="E202" s="7" t="s">
        <v>82</v>
      </c>
      <c r="F202" s="7" t="s">
        <v>993</v>
      </c>
      <c r="G202" s="7" t="s">
        <v>994</v>
      </c>
      <c r="H202" s="6" t="s">
        <v>995</v>
      </c>
      <c r="I202" s="6" t="s">
        <v>23</v>
      </c>
      <c r="J202" s="6" t="s">
        <v>111</v>
      </c>
      <c r="K202" s="8" t="s">
        <v>25</v>
      </c>
      <c r="L202" s="7"/>
      <c r="M202" s="12" t="s">
        <v>43</v>
      </c>
      <c r="N202" s="7"/>
    </row>
    <row r="203" customFormat="false" ht="18" hidden="false" customHeight="true" outlineLevel="0" collapsed="false">
      <c r="A203" s="5" t="n">
        <v>200</v>
      </c>
      <c r="B203" s="10" t="s">
        <v>996</v>
      </c>
      <c r="C203" s="10" t="s">
        <v>648</v>
      </c>
      <c r="D203" s="10" t="s">
        <v>87</v>
      </c>
      <c r="E203" s="11" t="s">
        <v>63</v>
      </c>
      <c r="F203" s="11" t="s">
        <v>997</v>
      </c>
      <c r="G203" s="11" t="s">
        <v>998</v>
      </c>
      <c r="H203" s="10" t="s">
        <v>999</v>
      </c>
      <c r="I203" s="10" t="s">
        <v>23</v>
      </c>
      <c r="J203" s="10" t="s">
        <v>58</v>
      </c>
      <c r="K203" s="8" t="s">
        <v>25</v>
      </c>
      <c r="L203" s="11"/>
      <c r="M203" s="12" t="s">
        <v>43</v>
      </c>
      <c r="N203" s="11"/>
    </row>
    <row r="204" customFormat="false" ht="18" hidden="false" customHeight="true" outlineLevel="0" collapsed="false">
      <c r="A204" s="5" t="n">
        <v>201</v>
      </c>
      <c r="B204" s="6" t="s">
        <v>1000</v>
      </c>
      <c r="C204" s="6" t="s">
        <v>1001</v>
      </c>
      <c r="D204" s="6" t="s">
        <v>37</v>
      </c>
      <c r="E204" s="7" t="s">
        <v>63</v>
      </c>
      <c r="F204" s="7" t="s">
        <v>1002</v>
      </c>
      <c r="G204" s="7" t="s">
        <v>1003</v>
      </c>
      <c r="H204" s="6" t="s">
        <v>1004</v>
      </c>
      <c r="I204" s="6" t="s">
        <v>23</v>
      </c>
      <c r="J204" s="6" t="s">
        <v>24</v>
      </c>
      <c r="K204" s="8" t="s">
        <v>25</v>
      </c>
      <c r="L204" s="7"/>
      <c r="M204" s="8" t="s">
        <v>59</v>
      </c>
      <c r="N204" s="7"/>
    </row>
    <row r="205" customFormat="false" ht="18" hidden="false" customHeight="true" outlineLevel="0" collapsed="false">
      <c r="A205" s="5" t="n">
        <v>202</v>
      </c>
      <c r="B205" s="10" t="s">
        <v>1005</v>
      </c>
      <c r="C205" s="10" t="s">
        <v>1006</v>
      </c>
      <c r="D205" s="10" t="s">
        <v>135</v>
      </c>
      <c r="E205" s="11" t="s">
        <v>47</v>
      </c>
      <c r="F205" s="11" t="s">
        <v>1007</v>
      </c>
      <c r="G205" s="11" t="s">
        <v>1008</v>
      </c>
      <c r="H205" s="10" t="s">
        <v>1009</v>
      </c>
      <c r="I205" s="10" t="s">
        <v>23</v>
      </c>
      <c r="J205" s="10" t="s">
        <v>34</v>
      </c>
      <c r="K205" s="8" t="s">
        <v>25</v>
      </c>
      <c r="L205" s="11"/>
      <c r="M205" s="12" t="s">
        <v>43</v>
      </c>
      <c r="N205" s="11"/>
    </row>
    <row r="206" customFormat="false" ht="18" hidden="false" customHeight="true" outlineLevel="0" collapsed="false">
      <c r="A206" s="5" t="n">
        <v>203</v>
      </c>
      <c r="B206" s="6" t="s">
        <v>1010</v>
      </c>
      <c r="C206" s="6" t="s">
        <v>181</v>
      </c>
      <c r="D206" s="6" t="s">
        <v>46</v>
      </c>
      <c r="E206" s="7" t="s">
        <v>82</v>
      </c>
      <c r="F206" s="7" t="s">
        <v>1011</v>
      </c>
      <c r="G206" s="7" t="s">
        <v>1012</v>
      </c>
      <c r="H206" s="6" t="s">
        <v>1013</v>
      </c>
      <c r="I206" s="6" t="s">
        <v>23</v>
      </c>
      <c r="J206" s="6" t="s">
        <v>24</v>
      </c>
      <c r="K206" s="8" t="s">
        <v>25</v>
      </c>
      <c r="L206" s="7"/>
      <c r="M206" s="8" t="s">
        <v>59</v>
      </c>
      <c r="N206" s="7"/>
    </row>
    <row r="207" customFormat="false" ht="18" hidden="false" customHeight="true" outlineLevel="0" collapsed="false">
      <c r="A207" s="5" t="n">
        <v>204</v>
      </c>
      <c r="B207" s="10" t="s">
        <v>1014</v>
      </c>
      <c r="C207" s="10" t="s">
        <v>1015</v>
      </c>
      <c r="D207" s="10" t="s">
        <v>46</v>
      </c>
      <c r="E207" s="11" t="s">
        <v>75</v>
      </c>
      <c r="F207" s="11" t="s">
        <v>1016</v>
      </c>
      <c r="G207" s="11" t="s">
        <v>1017</v>
      </c>
      <c r="H207" s="10" t="s">
        <v>1018</v>
      </c>
      <c r="I207" s="10" t="s">
        <v>23</v>
      </c>
      <c r="J207" s="10" t="s">
        <v>111</v>
      </c>
      <c r="K207" s="8" t="s">
        <v>25</v>
      </c>
      <c r="L207" s="11"/>
      <c r="M207" s="9" t="s">
        <v>26</v>
      </c>
      <c r="N207" s="11"/>
    </row>
    <row r="208" customFormat="false" ht="18" hidden="false" customHeight="true" outlineLevel="0" collapsed="false">
      <c r="A208" s="5" t="n">
        <v>205</v>
      </c>
      <c r="B208" s="6" t="s">
        <v>1019</v>
      </c>
      <c r="C208" s="6" t="s">
        <v>1020</v>
      </c>
      <c r="D208" s="6" t="s">
        <v>340</v>
      </c>
      <c r="E208" s="7" t="s">
        <v>63</v>
      </c>
      <c r="F208" s="7" t="s">
        <v>1021</v>
      </c>
      <c r="G208" s="7" t="s">
        <v>1022</v>
      </c>
      <c r="H208" s="6" t="s">
        <v>23</v>
      </c>
      <c r="I208" s="6" t="s">
        <v>23</v>
      </c>
      <c r="J208" s="6" t="s">
        <v>58</v>
      </c>
      <c r="K208" s="8" t="s">
        <v>25</v>
      </c>
      <c r="L208" s="7"/>
      <c r="M208" s="12" t="s">
        <v>43</v>
      </c>
      <c r="N208" s="7"/>
    </row>
    <row r="209" customFormat="false" ht="18" hidden="false" customHeight="true" outlineLevel="0" collapsed="false">
      <c r="A209" s="5" t="n">
        <v>206</v>
      </c>
      <c r="B209" s="10" t="s">
        <v>1023</v>
      </c>
      <c r="C209" s="10" t="s">
        <v>849</v>
      </c>
      <c r="D209" s="10" t="s">
        <v>114</v>
      </c>
      <c r="E209" s="11" t="s">
        <v>183</v>
      </c>
      <c r="F209" s="11" t="s">
        <v>1024</v>
      </c>
      <c r="G209" s="11" t="s">
        <v>1025</v>
      </c>
      <c r="H209" s="10" t="s">
        <v>23</v>
      </c>
      <c r="I209" s="10" t="s">
        <v>23</v>
      </c>
      <c r="J209" s="10" t="s">
        <v>97</v>
      </c>
      <c r="K209" s="8" t="s">
        <v>25</v>
      </c>
      <c r="L209" s="11"/>
      <c r="M209" s="9" t="s">
        <v>26</v>
      </c>
      <c r="N209" s="11"/>
    </row>
    <row r="210" customFormat="false" ht="18" hidden="false" customHeight="true" outlineLevel="0" collapsed="false">
      <c r="A210" s="5" t="n">
        <v>207</v>
      </c>
      <c r="B210" s="6" t="s">
        <v>1026</v>
      </c>
      <c r="C210" s="6" t="s">
        <v>1027</v>
      </c>
      <c r="D210" s="6" t="s">
        <v>151</v>
      </c>
      <c r="E210" s="7" t="s">
        <v>326</v>
      </c>
      <c r="F210" s="7" t="s">
        <v>1028</v>
      </c>
      <c r="G210" s="7" t="s">
        <v>1029</v>
      </c>
      <c r="H210" s="6" t="s">
        <v>1030</v>
      </c>
      <c r="I210" s="6" t="s">
        <v>23</v>
      </c>
      <c r="J210" s="6" t="s">
        <v>97</v>
      </c>
      <c r="K210" s="8" t="s">
        <v>25</v>
      </c>
      <c r="L210" s="7"/>
      <c r="M210" s="9" t="s">
        <v>26</v>
      </c>
      <c r="N210" s="7"/>
    </row>
    <row r="211" customFormat="false" ht="18" hidden="false" customHeight="true" outlineLevel="0" collapsed="false">
      <c r="A211" s="5" t="n">
        <v>208</v>
      </c>
      <c r="B211" s="10" t="s">
        <v>1031</v>
      </c>
      <c r="C211" s="10" t="s">
        <v>1032</v>
      </c>
      <c r="D211" s="10" t="s">
        <v>100</v>
      </c>
      <c r="E211" s="11" t="s">
        <v>30</v>
      </c>
      <c r="F211" s="11" t="s">
        <v>1033</v>
      </c>
      <c r="G211" s="11" t="s">
        <v>1034</v>
      </c>
      <c r="H211" s="10" t="s">
        <v>1035</v>
      </c>
      <c r="I211" s="10" t="s">
        <v>23</v>
      </c>
      <c r="J211" s="10" t="s">
        <v>58</v>
      </c>
      <c r="K211" s="8" t="s">
        <v>25</v>
      </c>
      <c r="L211" s="11"/>
      <c r="M211" s="12" t="s">
        <v>43</v>
      </c>
      <c r="N211" s="11"/>
    </row>
    <row r="212" customFormat="false" ht="18" hidden="false" customHeight="true" outlineLevel="0" collapsed="false">
      <c r="A212" s="5" t="n">
        <v>209</v>
      </c>
      <c r="B212" s="6" t="s">
        <v>1036</v>
      </c>
      <c r="C212" s="6" t="s">
        <v>1037</v>
      </c>
      <c r="D212" s="6" t="s">
        <v>19</v>
      </c>
      <c r="E212" s="7" t="s">
        <v>183</v>
      </c>
      <c r="F212" s="7" t="s">
        <v>1038</v>
      </c>
      <c r="G212" s="7" t="s">
        <v>1039</v>
      </c>
      <c r="H212" s="6" t="s">
        <v>1040</v>
      </c>
      <c r="I212" s="6" t="s">
        <v>23</v>
      </c>
      <c r="J212" s="6" t="s">
        <v>97</v>
      </c>
      <c r="K212" s="8" t="s">
        <v>25</v>
      </c>
      <c r="L212" s="7"/>
      <c r="M212" s="9" t="s">
        <v>26</v>
      </c>
      <c r="N212" s="7"/>
    </row>
    <row r="213" customFormat="false" ht="18" hidden="false" customHeight="true" outlineLevel="0" collapsed="false">
      <c r="A213" s="5" t="n">
        <v>210</v>
      </c>
      <c r="B213" s="10" t="s">
        <v>1041</v>
      </c>
      <c r="C213" s="10" t="s">
        <v>460</v>
      </c>
      <c r="D213" s="10" t="s">
        <v>53</v>
      </c>
      <c r="E213" s="11" t="s">
        <v>75</v>
      </c>
      <c r="F213" s="11" t="s">
        <v>1042</v>
      </c>
      <c r="G213" s="11" t="s">
        <v>1043</v>
      </c>
      <c r="H213" s="10" t="s">
        <v>1044</v>
      </c>
      <c r="I213" s="10" t="s">
        <v>23</v>
      </c>
      <c r="J213" s="10" t="s">
        <v>111</v>
      </c>
      <c r="K213" s="8" t="s">
        <v>25</v>
      </c>
      <c r="L213" s="11"/>
      <c r="M213" s="12" t="s">
        <v>43</v>
      </c>
      <c r="N213" s="11"/>
    </row>
    <row r="214" customFormat="false" ht="18" hidden="false" customHeight="true" outlineLevel="0" collapsed="false">
      <c r="A214" s="5" t="n">
        <v>211</v>
      </c>
      <c r="B214" s="6" t="s">
        <v>1045</v>
      </c>
      <c r="C214" s="6" t="s">
        <v>1046</v>
      </c>
      <c r="D214" s="6" t="s">
        <v>114</v>
      </c>
      <c r="E214" s="7" t="s">
        <v>69</v>
      </c>
      <c r="F214" s="7" t="s">
        <v>1047</v>
      </c>
      <c r="G214" s="7" t="s">
        <v>1048</v>
      </c>
      <c r="H214" s="6" t="s">
        <v>23</v>
      </c>
      <c r="I214" s="6" t="s">
        <v>23</v>
      </c>
      <c r="J214" s="6" t="s">
        <v>34</v>
      </c>
      <c r="K214" s="8" t="s">
        <v>25</v>
      </c>
      <c r="L214" s="7"/>
      <c r="M214" s="9" t="s">
        <v>26</v>
      </c>
      <c r="N214" s="7"/>
    </row>
    <row r="215" customFormat="false" ht="18" hidden="false" customHeight="true" outlineLevel="0" collapsed="false">
      <c r="A215" s="5" t="n">
        <v>212</v>
      </c>
      <c r="B215" s="10" t="s">
        <v>1049</v>
      </c>
      <c r="C215" s="10" t="s">
        <v>1050</v>
      </c>
      <c r="D215" s="10" t="s">
        <v>53</v>
      </c>
      <c r="E215" s="11" t="s">
        <v>82</v>
      </c>
      <c r="F215" s="11" t="s">
        <v>1051</v>
      </c>
      <c r="G215" s="11" t="s">
        <v>1052</v>
      </c>
      <c r="H215" s="10" t="s">
        <v>1053</v>
      </c>
      <c r="I215" s="10" t="s">
        <v>23</v>
      </c>
      <c r="J215" s="10" t="s">
        <v>58</v>
      </c>
      <c r="K215" s="8" t="s">
        <v>25</v>
      </c>
      <c r="L215" s="11"/>
      <c r="M215" s="9" t="s">
        <v>26</v>
      </c>
      <c r="N215" s="11"/>
    </row>
    <row r="216" customFormat="false" ht="18" hidden="false" customHeight="true" outlineLevel="0" collapsed="false">
      <c r="A216" s="5" t="n">
        <v>213</v>
      </c>
      <c r="B216" s="6" t="s">
        <v>1054</v>
      </c>
      <c r="C216" s="6" t="s">
        <v>1055</v>
      </c>
      <c r="D216" s="6" t="s">
        <v>125</v>
      </c>
      <c r="E216" s="7" t="s">
        <v>69</v>
      </c>
      <c r="F216" s="7" t="s">
        <v>1056</v>
      </c>
      <c r="G216" s="7" t="s">
        <v>1057</v>
      </c>
      <c r="H216" s="6" t="s">
        <v>1058</v>
      </c>
      <c r="I216" s="6" t="s">
        <v>23</v>
      </c>
      <c r="J216" s="6" t="s">
        <v>276</v>
      </c>
      <c r="K216" s="8" t="s">
        <v>25</v>
      </c>
      <c r="L216" s="7"/>
      <c r="M216" s="12" t="s">
        <v>43</v>
      </c>
      <c r="N216" s="7"/>
    </row>
    <row r="217" customFormat="false" ht="18" hidden="false" customHeight="true" outlineLevel="0" collapsed="false">
      <c r="A217" s="5" t="n">
        <v>214</v>
      </c>
      <c r="B217" s="10" t="s">
        <v>1059</v>
      </c>
      <c r="C217" s="10" t="s">
        <v>663</v>
      </c>
      <c r="D217" s="10" t="s">
        <v>93</v>
      </c>
      <c r="E217" s="11" t="s">
        <v>158</v>
      </c>
      <c r="F217" s="11" t="s">
        <v>1060</v>
      </c>
      <c r="G217" s="11" t="s">
        <v>1061</v>
      </c>
      <c r="H217" s="10" t="s">
        <v>23</v>
      </c>
      <c r="I217" s="10" t="s">
        <v>23</v>
      </c>
      <c r="J217" s="10" t="s">
        <v>79</v>
      </c>
      <c r="K217" s="8" t="s">
        <v>25</v>
      </c>
      <c r="L217" s="11"/>
      <c r="M217" s="12" t="s">
        <v>43</v>
      </c>
      <c r="N217" s="11"/>
    </row>
    <row r="218" customFormat="false" ht="18" hidden="false" customHeight="true" outlineLevel="0" collapsed="false">
      <c r="A218" s="5" t="n">
        <v>215</v>
      </c>
      <c r="B218" s="6" t="s">
        <v>1062</v>
      </c>
      <c r="C218" s="6" t="s">
        <v>1063</v>
      </c>
      <c r="D218" s="6" t="s">
        <v>114</v>
      </c>
      <c r="E218" s="7" t="s">
        <v>54</v>
      </c>
      <c r="F218" s="7" t="s">
        <v>1064</v>
      </c>
      <c r="G218" s="7" t="s">
        <v>1065</v>
      </c>
      <c r="H218" s="6" t="s">
        <v>1066</v>
      </c>
      <c r="I218" s="6" t="s">
        <v>23</v>
      </c>
      <c r="J218" s="6" t="s">
        <v>79</v>
      </c>
      <c r="K218" s="8" t="s">
        <v>25</v>
      </c>
      <c r="L218" s="7"/>
      <c r="M218" s="12" t="s">
        <v>43</v>
      </c>
      <c r="N218" s="7"/>
    </row>
    <row r="219" customFormat="false" ht="18" hidden="false" customHeight="true" outlineLevel="0" collapsed="false">
      <c r="A219" s="5" t="n">
        <v>216</v>
      </c>
      <c r="B219" s="10" t="s">
        <v>1067</v>
      </c>
      <c r="C219" s="10" t="s">
        <v>1068</v>
      </c>
      <c r="D219" s="10" t="s">
        <v>146</v>
      </c>
      <c r="E219" s="11" t="s">
        <v>47</v>
      </c>
      <c r="F219" s="11" t="s">
        <v>1069</v>
      </c>
      <c r="G219" s="11" t="s">
        <v>1070</v>
      </c>
      <c r="H219" s="10" t="s">
        <v>1071</v>
      </c>
      <c r="I219" s="10" t="s">
        <v>23</v>
      </c>
      <c r="J219" s="10" t="s">
        <v>58</v>
      </c>
      <c r="K219" s="8" t="s">
        <v>25</v>
      </c>
      <c r="L219" s="11"/>
      <c r="M219" s="12" t="s">
        <v>43</v>
      </c>
      <c r="N219" s="11"/>
    </row>
    <row r="220" customFormat="false" ht="18" hidden="false" customHeight="true" outlineLevel="0" collapsed="false">
      <c r="A220" s="5" t="n">
        <v>217</v>
      </c>
      <c r="B220" s="6" t="s">
        <v>1072</v>
      </c>
      <c r="C220" s="6" t="s">
        <v>1073</v>
      </c>
      <c r="D220" s="6" t="s">
        <v>151</v>
      </c>
      <c r="E220" s="7" t="s">
        <v>183</v>
      </c>
      <c r="F220" s="7" t="s">
        <v>1074</v>
      </c>
      <c r="G220" s="7" t="s">
        <v>1075</v>
      </c>
      <c r="H220" s="6" t="s">
        <v>23</v>
      </c>
      <c r="I220" s="6" t="s">
        <v>23</v>
      </c>
      <c r="J220" s="6" t="s">
        <v>34</v>
      </c>
      <c r="K220" s="8" t="s">
        <v>25</v>
      </c>
      <c r="L220" s="7"/>
      <c r="M220" s="12" t="s">
        <v>43</v>
      </c>
      <c r="N220" s="7"/>
    </row>
    <row r="221" customFormat="false" ht="18" hidden="false" customHeight="true" outlineLevel="0" collapsed="false">
      <c r="A221" s="5" t="n">
        <v>218</v>
      </c>
      <c r="B221" s="10" t="s">
        <v>1076</v>
      </c>
      <c r="C221" s="10" t="s">
        <v>1077</v>
      </c>
      <c r="D221" s="10" t="s">
        <v>316</v>
      </c>
      <c r="E221" s="11" t="s">
        <v>20</v>
      </c>
      <c r="F221" s="11" t="s">
        <v>1078</v>
      </c>
      <c r="G221" s="11" t="s">
        <v>1079</v>
      </c>
      <c r="H221" s="10" t="s">
        <v>23</v>
      </c>
      <c r="I221" s="10" t="s">
        <v>23</v>
      </c>
      <c r="J221" s="10" t="s">
        <v>24</v>
      </c>
      <c r="K221" s="8" t="s">
        <v>25</v>
      </c>
      <c r="L221" s="11"/>
      <c r="M221" s="9" t="s">
        <v>26</v>
      </c>
      <c r="N221" s="11"/>
    </row>
    <row r="222" customFormat="false" ht="18" hidden="false" customHeight="true" outlineLevel="0" collapsed="false">
      <c r="A222" s="5" t="n">
        <v>219</v>
      </c>
      <c r="B222" s="6" t="s">
        <v>1080</v>
      </c>
      <c r="C222" s="6" t="s">
        <v>565</v>
      </c>
      <c r="D222" s="6" t="s">
        <v>114</v>
      </c>
      <c r="E222" s="7" t="s">
        <v>152</v>
      </c>
      <c r="F222" s="7" t="s">
        <v>1081</v>
      </c>
      <c r="G222" s="7" t="s">
        <v>1082</v>
      </c>
      <c r="H222" s="6" t="s">
        <v>1083</v>
      </c>
      <c r="I222" s="6" t="s">
        <v>23</v>
      </c>
      <c r="J222" s="6" t="s">
        <v>506</v>
      </c>
      <c r="K222" s="8" t="s">
        <v>25</v>
      </c>
      <c r="L222" s="7"/>
      <c r="M222" s="12" t="s">
        <v>43</v>
      </c>
      <c r="N222" s="7"/>
    </row>
    <row r="223" customFormat="false" ht="18" hidden="false" customHeight="true" outlineLevel="0" collapsed="false">
      <c r="A223" s="5" t="n">
        <v>220</v>
      </c>
      <c r="B223" s="10" t="s">
        <v>1084</v>
      </c>
      <c r="C223" s="10" t="s">
        <v>1085</v>
      </c>
      <c r="D223" s="10" t="s">
        <v>37</v>
      </c>
      <c r="E223" s="11" t="s">
        <v>107</v>
      </c>
      <c r="F223" s="11" t="s">
        <v>1086</v>
      </c>
      <c r="G223" s="11" t="s">
        <v>1087</v>
      </c>
      <c r="H223" s="10" t="s">
        <v>23</v>
      </c>
      <c r="I223" s="10" t="s">
        <v>23</v>
      </c>
      <c r="J223" s="10" t="s">
        <v>97</v>
      </c>
      <c r="K223" s="8" t="s">
        <v>25</v>
      </c>
      <c r="L223" s="11"/>
      <c r="M223" s="12" t="s">
        <v>43</v>
      </c>
      <c r="N223" s="11"/>
    </row>
    <row r="224" customFormat="false" ht="18" hidden="false" customHeight="true" outlineLevel="0" collapsed="false">
      <c r="A224" s="5" t="n">
        <v>221</v>
      </c>
      <c r="B224" s="6" t="s">
        <v>1088</v>
      </c>
      <c r="C224" s="6" t="s">
        <v>1089</v>
      </c>
      <c r="D224" s="6" t="s">
        <v>151</v>
      </c>
      <c r="E224" s="7" t="s">
        <v>82</v>
      </c>
      <c r="F224" s="7" t="s">
        <v>1090</v>
      </c>
      <c r="G224" s="7" t="s">
        <v>1091</v>
      </c>
      <c r="H224" s="6" t="s">
        <v>1092</v>
      </c>
      <c r="I224" s="6" t="s">
        <v>23</v>
      </c>
      <c r="J224" s="6" t="s">
        <v>42</v>
      </c>
      <c r="K224" s="8" t="s">
        <v>25</v>
      </c>
      <c r="L224" s="7"/>
      <c r="M224" s="8" t="s">
        <v>59</v>
      </c>
      <c r="N224" s="7"/>
    </row>
    <row r="225" customFormat="false" ht="18" hidden="false" customHeight="true" outlineLevel="0" collapsed="false">
      <c r="A225" s="5" t="n">
        <v>222</v>
      </c>
      <c r="B225" s="10" t="s">
        <v>1093</v>
      </c>
      <c r="C225" s="10" t="s">
        <v>1094</v>
      </c>
      <c r="D225" s="10" t="s">
        <v>53</v>
      </c>
      <c r="E225" s="11" t="s">
        <v>107</v>
      </c>
      <c r="F225" s="11" t="s">
        <v>1095</v>
      </c>
      <c r="G225" s="11" t="s">
        <v>1096</v>
      </c>
      <c r="H225" s="10" t="s">
        <v>1097</v>
      </c>
      <c r="I225" s="10" t="s">
        <v>23</v>
      </c>
      <c r="J225" s="10" t="s">
        <v>79</v>
      </c>
      <c r="K225" s="8" t="s">
        <v>25</v>
      </c>
      <c r="L225" s="11"/>
      <c r="M225" s="9" t="s">
        <v>26</v>
      </c>
      <c r="N225" s="11"/>
    </row>
    <row r="226" customFormat="false" ht="18" hidden="false" customHeight="true" outlineLevel="0" collapsed="false">
      <c r="A226" s="5" t="n">
        <v>223</v>
      </c>
      <c r="B226" s="6" t="s">
        <v>1098</v>
      </c>
      <c r="C226" s="6" t="s">
        <v>1099</v>
      </c>
      <c r="D226" s="6" t="s">
        <v>168</v>
      </c>
      <c r="E226" s="7" t="s">
        <v>189</v>
      </c>
      <c r="F226" s="7" t="s">
        <v>1100</v>
      </c>
      <c r="G226" s="7" t="s">
        <v>1101</v>
      </c>
      <c r="H226" s="6" t="s">
        <v>1102</v>
      </c>
      <c r="I226" s="6" t="s">
        <v>23</v>
      </c>
      <c r="J226" s="6" t="s">
        <v>276</v>
      </c>
      <c r="K226" s="8" t="s">
        <v>25</v>
      </c>
      <c r="L226" s="7"/>
      <c r="M226" s="9" t="s">
        <v>26</v>
      </c>
      <c r="N226" s="7"/>
    </row>
    <row r="227" customFormat="false" ht="18" hidden="false" customHeight="true" outlineLevel="0" collapsed="false">
      <c r="A227" s="5" t="n">
        <v>224</v>
      </c>
      <c r="B227" s="10" t="s">
        <v>1103</v>
      </c>
      <c r="C227" s="10" t="s">
        <v>1104</v>
      </c>
      <c r="D227" s="10" t="s">
        <v>340</v>
      </c>
      <c r="E227" s="11" t="s">
        <v>20</v>
      </c>
      <c r="F227" s="11" t="s">
        <v>1105</v>
      </c>
      <c r="G227" s="11" t="s">
        <v>1106</v>
      </c>
      <c r="H227" s="10" t="s">
        <v>1107</v>
      </c>
      <c r="I227" s="10" t="s">
        <v>23</v>
      </c>
      <c r="J227" s="10" t="s">
        <v>24</v>
      </c>
      <c r="K227" s="8" t="s">
        <v>25</v>
      </c>
      <c r="L227" s="11"/>
      <c r="M227" s="12" t="s">
        <v>43</v>
      </c>
      <c r="N227" s="11"/>
    </row>
    <row r="228" customFormat="false" ht="18" hidden="false" customHeight="true" outlineLevel="0" collapsed="false">
      <c r="A228" s="5" t="n">
        <v>225</v>
      </c>
      <c r="B228" s="6" t="s">
        <v>1108</v>
      </c>
      <c r="C228" s="6" t="s">
        <v>1109</v>
      </c>
      <c r="D228" s="6" t="s">
        <v>100</v>
      </c>
      <c r="E228" s="7" t="s">
        <v>107</v>
      </c>
      <c r="F228" s="7" t="s">
        <v>1110</v>
      </c>
      <c r="G228" s="7" t="s">
        <v>1111</v>
      </c>
      <c r="H228" s="6" t="s">
        <v>23</v>
      </c>
      <c r="I228" s="6" t="s">
        <v>23</v>
      </c>
      <c r="J228" s="6" t="s">
        <v>34</v>
      </c>
      <c r="K228" s="8" t="s">
        <v>25</v>
      </c>
      <c r="L228" s="7"/>
      <c r="M228" s="8" t="s">
        <v>59</v>
      </c>
      <c r="N228" s="7"/>
    </row>
    <row r="229" customFormat="false" ht="18" hidden="false" customHeight="true" outlineLevel="0" collapsed="false">
      <c r="A229" s="5" t="n">
        <v>226</v>
      </c>
      <c r="B229" s="10" t="s">
        <v>1112</v>
      </c>
      <c r="C229" s="10" t="s">
        <v>1113</v>
      </c>
      <c r="D229" s="10" t="s">
        <v>146</v>
      </c>
      <c r="E229" s="11" t="s">
        <v>75</v>
      </c>
      <c r="F229" s="11" t="s">
        <v>1114</v>
      </c>
      <c r="G229" s="11" t="s">
        <v>1115</v>
      </c>
      <c r="H229" s="10" t="s">
        <v>1116</v>
      </c>
      <c r="I229" s="10" t="s">
        <v>23</v>
      </c>
      <c r="J229" s="10" t="s">
        <v>276</v>
      </c>
      <c r="K229" s="8" t="s">
        <v>25</v>
      </c>
      <c r="L229" s="11"/>
      <c r="M229" s="12" t="s">
        <v>43</v>
      </c>
      <c r="N229" s="11"/>
    </row>
    <row r="230" customFormat="false" ht="18" hidden="false" customHeight="true" outlineLevel="0" collapsed="false">
      <c r="A230" s="5" t="n">
        <v>227</v>
      </c>
      <c r="B230" s="6" t="s">
        <v>1117</v>
      </c>
      <c r="C230" s="6" t="s">
        <v>1118</v>
      </c>
      <c r="D230" s="6" t="s">
        <v>106</v>
      </c>
      <c r="E230" s="7" t="s">
        <v>47</v>
      </c>
      <c r="F230" s="7" t="s">
        <v>1119</v>
      </c>
      <c r="G230" s="7" t="s">
        <v>1120</v>
      </c>
      <c r="H230" s="6" t="s">
        <v>1121</v>
      </c>
      <c r="I230" s="6" t="s">
        <v>23</v>
      </c>
      <c r="J230" s="6" t="s">
        <v>34</v>
      </c>
      <c r="K230" s="8" t="s">
        <v>25</v>
      </c>
      <c r="L230" s="7"/>
      <c r="M230" s="12" t="s">
        <v>43</v>
      </c>
      <c r="N230" s="7"/>
    </row>
    <row r="231" customFormat="false" ht="18" hidden="false" customHeight="true" outlineLevel="0" collapsed="false">
      <c r="A231" s="5" t="n">
        <v>228</v>
      </c>
      <c r="B231" s="10" t="s">
        <v>1122</v>
      </c>
      <c r="C231" s="10" t="s">
        <v>1123</v>
      </c>
      <c r="D231" s="10" t="s">
        <v>146</v>
      </c>
      <c r="E231" s="11" t="s">
        <v>30</v>
      </c>
      <c r="F231" s="11" t="s">
        <v>1124</v>
      </c>
      <c r="G231" s="11" t="s">
        <v>1125</v>
      </c>
      <c r="H231" s="10" t="s">
        <v>23</v>
      </c>
      <c r="I231" s="10" t="s">
        <v>23</v>
      </c>
      <c r="J231" s="10" t="s">
        <v>58</v>
      </c>
      <c r="K231" s="8" t="s">
        <v>25</v>
      </c>
      <c r="L231" s="11"/>
      <c r="M231" s="9" t="s">
        <v>26</v>
      </c>
      <c r="N231" s="11"/>
    </row>
    <row r="232" customFormat="false" ht="18" hidden="false" customHeight="true" outlineLevel="0" collapsed="false">
      <c r="A232" s="5" t="n">
        <v>229</v>
      </c>
      <c r="B232" s="6" t="s">
        <v>1126</v>
      </c>
      <c r="C232" s="6" t="s">
        <v>1127</v>
      </c>
      <c r="D232" s="6" t="s">
        <v>19</v>
      </c>
      <c r="E232" s="7" t="s">
        <v>189</v>
      </c>
      <c r="F232" s="7" t="s">
        <v>1128</v>
      </c>
      <c r="G232" s="7" t="s">
        <v>1129</v>
      </c>
      <c r="H232" s="6" t="s">
        <v>1130</v>
      </c>
      <c r="I232" s="6" t="s">
        <v>23</v>
      </c>
      <c r="J232" s="6" t="s">
        <v>42</v>
      </c>
      <c r="K232" s="8" t="s">
        <v>25</v>
      </c>
      <c r="L232" s="7"/>
      <c r="M232" s="9" t="s">
        <v>26</v>
      </c>
      <c r="N232" s="7"/>
    </row>
    <row r="233" customFormat="false" ht="18" hidden="false" customHeight="true" outlineLevel="0" collapsed="false">
      <c r="A233" s="5" t="n">
        <v>230</v>
      </c>
      <c r="B233" s="10" t="s">
        <v>1131</v>
      </c>
      <c r="C233" s="10" t="s">
        <v>1132</v>
      </c>
      <c r="D233" s="10" t="s">
        <v>182</v>
      </c>
      <c r="E233" s="11" t="s">
        <v>30</v>
      </c>
      <c r="F233" s="11" t="s">
        <v>1133</v>
      </c>
      <c r="G233" s="11" t="s">
        <v>1134</v>
      </c>
      <c r="H233" s="10" t="s">
        <v>23</v>
      </c>
      <c r="I233" s="10" t="s">
        <v>23</v>
      </c>
      <c r="J233" s="10" t="s">
        <v>276</v>
      </c>
      <c r="K233" s="8" t="s">
        <v>25</v>
      </c>
      <c r="L233" s="11"/>
      <c r="M233" s="12" t="s">
        <v>43</v>
      </c>
      <c r="N233" s="11"/>
    </row>
    <row r="234" customFormat="false" ht="18" hidden="false" customHeight="true" outlineLevel="0" collapsed="false">
      <c r="A234" s="5" t="n">
        <v>231</v>
      </c>
      <c r="B234" s="6" t="s">
        <v>1135</v>
      </c>
      <c r="C234" s="6" t="s">
        <v>1136</v>
      </c>
      <c r="D234" s="6" t="s">
        <v>254</v>
      </c>
      <c r="E234" s="7" t="s">
        <v>107</v>
      </c>
      <c r="F234" s="7" t="s">
        <v>1137</v>
      </c>
      <c r="G234" s="7" t="s">
        <v>1138</v>
      </c>
      <c r="H234" s="6" t="s">
        <v>1139</v>
      </c>
      <c r="I234" s="6" t="s">
        <v>23</v>
      </c>
      <c r="J234" s="6" t="s">
        <v>34</v>
      </c>
      <c r="K234" s="8" t="s">
        <v>25</v>
      </c>
      <c r="L234" s="7"/>
      <c r="M234" s="9" t="s">
        <v>26</v>
      </c>
      <c r="N234" s="7"/>
    </row>
    <row r="235" customFormat="false" ht="18" hidden="false" customHeight="true" outlineLevel="0" collapsed="false">
      <c r="A235" s="5" t="n">
        <v>232</v>
      </c>
      <c r="B235" s="10" t="s">
        <v>1140</v>
      </c>
      <c r="C235" s="10" t="s">
        <v>1141</v>
      </c>
      <c r="D235" s="10" t="s">
        <v>93</v>
      </c>
      <c r="E235" s="11" t="s">
        <v>75</v>
      </c>
      <c r="F235" s="11" t="s">
        <v>1142</v>
      </c>
      <c r="G235" s="11" t="s">
        <v>1143</v>
      </c>
      <c r="H235" s="10" t="s">
        <v>1144</v>
      </c>
      <c r="I235" s="10" t="s">
        <v>23</v>
      </c>
      <c r="J235" s="10" t="s">
        <v>276</v>
      </c>
      <c r="K235" s="8" t="s">
        <v>25</v>
      </c>
      <c r="L235" s="11"/>
      <c r="M235" s="9" t="s">
        <v>26</v>
      </c>
      <c r="N235" s="11"/>
    </row>
    <row r="236" customFormat="false" ht="18" hidden="false" customHeight="true" outlineLevel="0" collapsed="false">
      <c r="A236" s="5" t="n">
        <v>233</v>
      </c>
      <c r="B236" s="6" t="s">
        <v>1145</v>
      </c>
      <c r="C236" s="6" t="s">
        <v>1146</v>
      </c>
      <c r="D236" s="6" t="s">
        <v>316</v>
      </c>
      <c r="E236" s="7" t="s">
        <v>82</v>
      </c>
      <c r="F236" s="7" t="s">
        <v>1147</v>
      </c>
      <c r="G236" s="7" t="s">
        <v>1148</v>
      </c>
      <c r="H236" s="6" t="s">
        <v>1149</v>
      </c>
      <c r="I236" s="6" t="s">
        <v>23</v>
      </c>
      <c r="J236" s="6" t="s">
        <v>506</v>
      </c>
      <c r="K236" s="8" t="s">
        <v>25</v>
      </c>
      <c r="L236" s="7"/>
      <c r="M236" s="8" t="s">
        <v>59</v>
      </c>
      <c r="N236" s="7"/>
    </row>
    <row r="237" customFormat="false" ht="18" hidden="false" customHeight="true" outlineLevel="0" collapsed="false">
      <c r="A237" s="5" t="n">
        <v>234</v>
      </c>
      <c r="B237" s="10" t="s">
        <v>1150</v>
      </c>
      <c r="C237" s="10" t="s">
        <v>1151</v>
      </c>
      <c r="D237" s="10" t="s">
        <v>254</v>
      </c>
      <c r="E237" s="11" t="s">
        <v>38</v>
      </c>
      <c r="F237" s="11" t="s">
        <v>1152</v>
      </c>
      <c r="G237" s="11" t="s">
        <v>1153</v>
      </c>
      <c r="H237" s="10" t="s">
        <v>23</v>
      </c>
      <c r="I237" s="10" t="s">
        <v>23</v>
      </c>
      <c r="J237" s="10" t="s">
        <v>34</v>
      </c>
      <c r="K237" s="8" t="s">
        <v>25</v>
      </c>
      <c r="L237" s="11"/>
      <c r="M237" s="12" t="s">
        <v>43</v>
      </c>
      <c r="N237" s="11"/>
    </row>
    <row r="238" customFormat="false" ht="18" hidden="false" customHeight="true" outlineLevel="0" collapsed="false">
      <c r="A238" s="5" t="n">
        <v>235</v>
      </c>
      <c r="B238" s="6" t="s">
        <v>1154</v>
      </c>
      <c r="C238" s="6" t="s">
        <v>1155</v>
      </c>
      <c r="D238" s="6" t="s">
        <v>422</v>
      </c>
      <c r="E238" s="7" t="s">
        <v>326</v>
      </c>
      <c r="F238" s="7" t="s">
        <v>1156</v>
      </c>
      <c r="G238" s="7" t="s">
        <v>1157</v>
      </c>
      <c r="H238" s="6" t="s">
        <v>1158</v>
      </c>
      <c r="I238" s="6" t="s">
        <v>23</v>
      </c>
      <c r="J238" s="6" t="s">
        <v>276</v>
      </c>
      <c r="K238" s="8" t="s">
        <v>25</v>
      </c>
      <c r="L238" s="7"/>
      <c r="M238" s="12" t="s">
        <v>43</v>
      </c>
      <c r="N238" s="7"/>
    </row>
    <row r="239" customFormat="false" ht="18" hidden="false" customHeight="true" outlineLevel="0" collapsed="false">
      <c r="A239" s="5" t="n">
        <v>236</v>
      </c>
      <c r="B239" s="10" t="s">
        <v>1159</v>
      </c>
      <c r="C239" s="10" t="s">
        <v>1160</v>
      </c>
      <c r="D239" s="10" t="s">
        <v>93</v>
      </c>
      <c r="E239" s="11" t="s">
        <v>189</v>
      </c>
      <c r="F239" s="11" t="s">
        <v>1161</v>
      </c>
      <c r="G239" s="11" t="s">
        <v>1162</v>
      </c>
      <c r="H239" s="10" t="s">
        <v>1163</v>
      </c>
      <c r="I239" s="10" t="s">
        <v>23</v>
      </c>
      <c r="J239" s="10" t="s">
        <v>97</v>
      </c>
      <c r="K239" s="8" t="s">
        <v>25</v>
      </c>
      <c r="L239" s="11"/>
      <c r="M239" s="9" t="s">
        <v>26</v>
      </c>
      <c r="N239" s="11"/>
    </row>
    <row r="240" customFormat="false" ht="18" hidden="false" customHeight="true" outlineLevel="0" collapsed="false">
      <c r="A240" s="5" t="n">
        <v>237</v>
      </c>
      <c r="B240" s="6" t="s">
        <v>1164</v>
      </c>
      <c r="C240" s="6" t="s">
        <v>1165</v>
      </c>
      <c r="D240" s="6" t="s">
        <v>340</v>
      </c>
      <c r="E240" s="7" t="s">
        <v>69</v>
      </c>
      <c r="F240" s="7" t="s">
        <v>1166</v>
      </c>
      <c r="G240" s="7" t="s">
        <v>1167</v>
      </c>
      <c r="H240" s="6" t="s">
        <v>23</v>
      </c>
      <c r="I240" s="6" t="s">
        <v>23</v>
      </c>
      <c r="J240" s="6" t="s">
        <v>111</v>
      </c>
      <c r="K240" s="8" t="s">
        <v>25</v>
      </c>
      <c r="L240" s="7"/>
      <c r="M240" s="9" t="s">
        <v>26</v>
      </c>
      <c r="N240" s="7"/>
    </row>
    <row r="241" customFormat="false" ht="18" hidden="false" customHeight="true" outlineLevel="0" collapsed="false">
      <c r="A241" s="5" t="n">
        <v>238</v>
      </c>
      <c r="B241" s="10" t="s">
        <v>1168</v>
      </c>
      <c r="C241" s="10" t="s">
        <v>1169</v>
      </c>
      <c r="D241" s="10" t="s">
        <v>168</v>
      </c>
      <c r="E241" s="11" t="s">
        <v>107</v>
      </c>
      <c r="F241" s="11" t="s">
        <v>1170</v>
      </c>
      <c r="G241" s="11" t="s">
        <v>1171</v>
      </c>
      <c r="H241" s="10" t="s">
        <v>23</v>
      </c>
      <c r="I241" s="10" t="s">
        <v>23</v>
      </c>
      <c r="J241" s="10" t="s">
        <v>111</v>
      </c>
      <c r="K241" s="8" t="s">
        <v>25</v>
      </c>
      <c r="L241" s="11"/>
      <c r="M241" s="9" t="s">
        <v>26</v>
      </c>
      <c r="N241" s="11"/>
    </row>
    <row r="242" customFormat="false" ht="18" hidden="false" customHeight="true" outlineLevel="0" collapsed="false">
      <c r="A242" s="5" t="n">
        <v>239</v>
      </c>
      <c r="B242" s="6" t="s">
        <v>1172</v>
      </c>
      <c r="C242" s="6" t="s">
        <v>1173</v>
      </c>
      <c r="D242" s="6" t="s">
        <v>100</v>
      </c>
      <c r="E242" s="7" t="s">
        <v>63</v>
      </c>
      <c r="F242" s="7" t="s">
        <v>1174</v>
      </c>
      <c r="G242" s="7" t="s">
        <v>1175</v>
      </c>
      <c r="H242" s="6" t="s">
        <v>1176</v>
      </c>
      <c r="I242" s="6" t="s">
        <v>23</v>
      </c>
      <c r="J242" s="6" t="s">
        <v>79</v>
      </c>
      <c r="K242" s="8" t="s">
        <v>25</v>
      </c>
      <c r="L242" s="7"/>
      <c r="M242" s="9" t="s">
        <v>26</v>
      </c>
      <c r="N242" s="7"/>
    </row>
    <row r="243" customFormat="false" ht="18" hidden="false" customHeight="true" outlineLevel="0" collapsed="false">
      <c r="A243" s="5" t="n">
        <v>240</v>
      </c>
      <c r="B243" s="10" t="s">
        <v>1177</v>
      </c>
      <c r="C243" s="10" t="s">
        <v>1178</v>
      </c>
      <c r="D243" s="10" t="s">
        <v>37</v>
      </c>
      <c r="E243" s="11" t="s">
        <v>69</v>
      </c>
      <c r="F243" s="11" t="s">
        <v>1179</v>
      </c>
      <c r="G243" s="11" t="s">
        <v>1180</v>
      </c>
      <c r="H243" s="10" t="s">
        <v>1181</v>
      </c>
      <c r="I243" s="10" t="s">
        <v>23</v>
      </c>
      <c r="J243" s="10" t="s">
        <v>506</v>
      </c>
      <c r="K243" s="8" t="s">
        <v>25</v>
      </c>
      <c r="L243" s="11"/>
      <c r="M243" s="9" t="s">
        <v>26</v>
      </c>
      <c r="N243" s="11"/>
    </row>
    <row r="244" customFormat="false" ht="18" hidden="false" customHeight="true" outlineLevel="0" collapsed="false">
      <c r="A244" s="5" t="n">
        <v>241</v>
      </c>
      <c r="B244" s="6" t="s">
        <v>1182</v>
      </c>
      <c r="C244" s="6" t="s">
        <v>1183</v>
      </c>
      <c r="D244" s="6" t="s">
        <v>19</v>
      </c>
      <c r="E244" s="7" t="s">
        <v>158</v>
      </c>
      <c r="F244" s="7" t="s">
        <v>1184</v>
      </c>
      <c r="G244" s="7" t="s">
        <v>1185</v>
      </c>
      <c r="H244" s="6" t="s">
        <v>1186</v>
      </c>
      <c r="I244" s="6" t="s">
        <v>23</v>
      </c>
      <c r="J244" s="6" t="s">
        <v>111</v>
      </c>
      <c r="K244" s="8" t="s">
        <v>25</v>
      </c>
      <c r="L244" s="7"/>
      <c r="M244" s="8" t="s">
        <v>59</v>
      </c>
      <c r="N244" s="7"/>
    </row>
    <row r="245" customFormat="false" ht="18" hidden="false" customHeight="true" outlineLevel="0" collapsed="false">
      <c r="A245" s="5" t="n">
        <v>242</v>
      </c>
      <c r="B245" s="10" t="s">
        <v>1187</v>
      </c>
      <c r="C245" s="10" t="s">
        <v>1188</v>
      </c>
      <c r="D245" s="10" t="s">
        <v>135</v>
      </c>
      <c r="E245" s="11" t="s">
        <v>54</v>
      </c>
      <c r="F245" s="11" t="s">
        <v>1189</v>
      </c>
      <c r="G245" s="11" t="s">
        <v>1190</v>
      </c>
      <c r="H245" s="10" t="s">
        <v>1191</v>
      </c>
      <c r="I245" s="10" t="s">
        <v>23</v>
      </c>
      <c r="J245" s="10" t="s">
        <v>42</v>
      </c>
      <c r="K245" s="8" t="s">
        <v>25</v>
      </c>
      <c r="L245" s="11"/>
      <c r="M245" s="9" t="s">
        <v>26</v>
      </c>
      <c r="N245" s="11"/>
    </row>
    <row r="246" customFormat="false" ht="18" hidden="false" customHeight="true" outlineLevel="0" collapsed="false">
      <c r="A246" s="5" t="n">
        <v>243</v>
      </c>
      <c r="B246" s="6" t="s">
        <v>1192</v>
      </c>
      <c r="C246" s="6" t="s">
        <v>1193</v>
      </c>
      <c r="D246" s="6" t="s">
        <v>301</v>
      </c>
      <c r="E246" s="7" t="s">
        <v>47</v>
      </c>
      <c r="F246" s="7" t="s">
        <v>1194</v>
      </c>
      <c r="G246" s="7" t="s">
        <v>1195</v>
      </c>
      <c r="H246" s="6" t="s">
        <v>1196</v>
      </c>
      <c r="I246" s="6" t="s">
        <v>23</v>
      </c>
      <c r="J246" s="6" t="s">
        <v>34</v>
      </c>
      <c r="K246" s="8" t="s">
        <v>25</v>
      </c>
      <c r="L246" s="7"/>
      <c r="M246" s="8" t="s">
        <v>59</v>
      </c>
      <c r="N246" s="7"/>
    </row>
    <row r="247" customFormat="false" ht="18" hidden="false" customHeight="true" outlineLevel="0" collapsed="false">
      <c r="A247" s="5" t="n">
        <v>244</v>
      </c>
      <c r="B247" s="10" t="s">
        <v>1197</v>
      </c>
      <c r="C247" s="10" t="s">
        <v>1198</v>
      </c>
      <c r="D247" s="10" t="s">
        <v>19</v>
      </c>
      <c r="E247" s="11" t="s">
        <v>69</v>
      </c>
      <c r="F247" s="11" t="s">
        <v>1199</v>
      </c>
      <c r="G247" s="11" t="s">
        <v>1200</v>
      </c>
      <c r="H247" s="10" t="s">
        <v>1201</v>
      </c>
      <c r="I247" s="10" t="s">
        <v>23</v>
      </c>
      <c r="J247" s="10" t="s">
        <v>97</v>
      </c>
      <c r="K247" s="8" t="s">
        <v>25</v>
      </c>
      <c r="L247" s="11"/>
      <c r="M247" s="12" t="s">
        <v>43</v>
      </c>
      <c r="N247" s="11"/>
    </row>
    <row r="248" customFormat="false" ht="18" hidden="false" customHeight="true" outlineLevel="0" collapsed="false">
      <c r="A248" s="5" t="n">
        <v>245</v>
      </c>
      <c r="B248" s="6" t="s">
        <v>1202</v>
      </c>
      <c r="C248" s="6" t="s">
        <v>1203</v>
      </c>
      <c r="D248" s="6" t="s">
        <v>19</v>
      </c>
      <c r="E248" s="7" t="s">
        <v>69</v>
      </c>
      <c r="F248" s="7" t="s">
        <v>1204</v>
      </c>
      <c r="G248" s="7" t="s">
        <v>1205</v>
      </c>
      <c r="H248" s="6" t="s">
        <v>1206</v>
      </c>
      <c r="I248" s="6" t="s">
        <v>23</v>
      </c>
      <c r="J248" s="6" t="s">
        <v>79</v>
      </c>
      <c r="K248" s="8" t="s">
        <v>25</v>
      </c>
      <c r="L248" s="7"/>
      <c r="M248" s="9" t="s">
        <v>26</v>
      </c>
      <c r="N248" s="7"/>
    </row>
    <row r="249" customFormat="false" ht="18" hidden="false" customHeight="true" outlineLevel="0" collapsed="false">
      <c r="A249" s="5" t="n">
        <v>246</v>
      </c>
      <c r="B249" s="10" t="s">
        <v>1207</v>
      </c>
      <c r="C249" s="10" t="s">
        <v>1208</v>
      </c>
      <c r="D249" s="10" t="s">
        <v>182</v>
      </c>
      <c r="E249" s="11" t="s">
        <v>82</v>
      </c>
      <c r="F249" s="11" t="s">
        <v>1209</v>
      </c>
      <c r="G249" s="11" t="s">
        <v>1210</v>
      </c>
      <c r="H249" s="10" t="s">
        <v>1211</v>
      </c>
      <c r="I249" s="10" t="s">
        <v>23</v>
      </c>
      <c r="J249" s="10" t="s">
        <v>24</v>
      </c>
      <c r="K249" s="8" t="s">
        <v>25</v>
      </c>
      <c r="L249" s="11"/>
      <c r="M249" s="12" t="s">
        <v>43</v>
      </c>
      <c r="N249" s="11"/>
    </row>
    <row r="250" customFormat="false" ht="18" hidden="false" customHeight="true" outlineLevel="0" collapsed="false">
      <c r="A250" s="5" t="n">
        <v>247</v>
      </c>
      <c r="B250" s="6" t="s">
        <v>1212</v>
      </c>
      <c r="C250" s="6" t="s">
        <v>1213</v>
      </c>
      <c r="D250" s="6" t="s">
        <v>53</v>
      </c>
      <c r="E250" s="7" t="s">
        <v>30</v>
      </c>
      <c r="F250" s="7" t="s">
        <v>1214</v>
      </c>
      <c r="G250" s="7" t="s">
        <v>1215</v>
      </c>
      <c r="H250" s="6" t="s">
        <v>1216</v>
      </c>
      <c r="I250" s="6" t="s">
        <v>23</v>
      </c>
      <c r="J250" s="6" t="s">
        <v>276</v>
      </c>
      <c r="K250" s="8" t="s">
        <v>25</v>
      </c>
      <c r="L250" s="7"/>
      <c r="M250" s="12" t="s">
        <v>43</v>
      </c>
      <c r="N250" s="7"/>
    </row>
    <row r="251" customFormat="false" ht="18" hidden="false" customHeight="true" outlineLevel="0" collapsed="false">
      <c r="A251" s="5" t="n">
        <v>248</v>
      </c>
      <c r="B251" s="10" t="s">
        <v>1217</v>
      </c>
      <c r="C251" s="10" t="s">
        <v>1218</v>
      </c>
      <c r="D251" s="10" t="s">
        <v>125</v>
      </c>
      <c r="E251" s="11" t="s">
        <v>38</v>
      </c>
      <c r="F251" s="11" t="s">
        <v>1219</v>
      </c>
      <c r="G251" s="11" t="s">
        <v>1220</v>
      </c>
      <c r="H251" s="10" t="s">
        <v>1221</v>
      </c>
      <c r="I251" s="10" t="s">
        <v>23</v>
      </c>
      <c r="J251" s="10" t="s">
        <v>24</v>
      </c>
      <c r="K251" s="8" t="s">
        <v>25</v>
      </c>
      <c r="L251" s="11"/>
      <c r="M251" s="12" t="s">
        <v>43</v>
      </c>
      <c r="N251" s="11"/>
    </row>
    <row r="252" customFormat="false" ht="18" hidden="false" customHeight="true" outlineLevel="0" collapsed="false">
      <c r="A252" s="5" t="n">
        <v>249</v>
      </c>
      <c r="B252" s="6" t="s">
        <v>1222</v>
      </c>
      <c r="C252" s="6" t="s">
        <v>61</v>
      </c>
      <c r="D252" s="6" t="s">
        <v>29</v>
      </c>
      <c r="E252" s="7" t="s">
        <v>20</v>
      </c>
      <c r="F252" s="7" t="s">
        <v>1223</v>
      </c>
      <c r="G252" s="7" t="s">
        <v>1224</v>
      </c>
      <c r="H252" s="6" t="s">
        <v>23</v>
      </c>
      <c r="I252" s="6" t="s">
        <v>23</v>
      </c>
      <c r="J252" s="6" t="s">
        <v>58</v>
      </c>
      <c r="K252" s="8" t="s">
        <v>25</v>
      </c>
      <c r="L252" s="7"/>
      <c r="M252" s="8" t="s">
        <v>59</v>
      </c>
      <c r="N252" s="7"/>
    </row>
    <row r="253" customFormat="false" ht="18" hidden="false" customHeight="true" outlineLevel="0" collapsed="false">
      <c r="A253" s="5" t="n">
        <v>250</v>
      </c>
      <c r="B253" s="10" t="s">
        <v>1225</v>
      </c>
      <c r="C253" s="10" t="s">
        <v>1226</v>
      </c>
      <c r="D253" s="10" t="s">
        <v>340</v>
      </c>
      <c r="E253" s="11" t="s">
        <v>63</v>
      </c>
      <c r="F253" s="11" t="s">
        <v>1227</v>
      </c>
      <c r="G253" s="11" t="s">
        <v>1228</v>
      </c>
      <c r="H253" s="10" t="s">
        <v>23</v>
      </c>
      <c r="I253" s="10" t="s">
        <v>23</v>
      </c>
      <c r="J253" s="10" t="s">
        <v>79</v>
      </c>
      <c r="K253" s="8" t="s">
        <v>25</v>
      </c>
      <c r="L253" s="11"/>
      <c r="M253" s="8" t="s">
        <v>59</v>
      </c>
      <c r="N253" s="11"/>
    </row>
  </sheetData>
  <mergeCells count="2">
    <mergeCell ref="A1:O1"/>
    <mergeCell ref="A2:O2"/>
  </mergeCells>
  <dataValidations count="2">
    <dataValidation allowBlank="false" errorStyle="stop" operator="between" showDropDown="false" showErrorMessage="false" showInputMessage="false" sqref="K4:K253" type="list">
      <formula1>"Not Contacted,DM Sent,Email Sent,WhatsApp Sent,Call Done,Interested,Demo Shown,Proposal Sent,Negotiating,Closed Won,Closed Lost,Not Interested"</formula1>
      <formula2>0</formula2>
    </dataValidation>
    <dataValidation allowBlank="false" errorStyle="stop" operator="between" showDropDown="false" showErrorMessage="false" showInputMessage="false" sqref="M4:M253"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4"/>
    <col collapsed="false" customWidth="true" hidden="false" outlineLevel="0" max="3" min="3" style="1" width="28"/>
    <col collapsed="false" customWidth="true" hidden="false" outlineLevel="0" max="4" min="4" style="1" width="22"/>
    <col collapsed="false" customWidth="true" hidden="false" outlineLevel="0" max="7" min="5" style="1" width="18"/>
    <col collapsed="false" customWidth="true" hidden="false" outlineLevel="0" max="8" min="8" style="1" width="20"/>
    <col collapsed="false" customWidth="true" hidden="false" outlineLevel="0" max="9" min="9" style="1" width="30"/>
  </cols>
  <sheetData>
    <row r="1" customFormat="false" ht="33.75" hidden="false" customHeight="true" outlineLevel="0" collapsed="false">
      <c r="A1" s="13" t="s">
        <v>1229</v>
      </c>
      <c r="B1" s="13"/>
      <c r="C1" s="13"/>
      <c r="D1" s="13"/>
      <c r="E1" s="13"/>
      <c r="F1" s="13"/>
      <c r="G1" s="13"/>
      <c r="H1" s="13"/>
      <c r="I1" s="13"/>
    </row>
    <row r="3" customFormat="false" ht="25.5" hidden="false" customHeight="true" outlineLevel="0" collapsed="false">
      <c r="A3" s="14" t="s">
        <v>1230</v>
      </c>
      <c r="B3" s="14"/>
      <c r="C3" s="14"/>
      <c r="D3" s="14"/>
      <c r="E3" s="14"/>
      <c r="F3" s="14"/>
      <c r="G3" s="14"/>
      <c r="H3" s="14"/>
      <c r="I3" s="14"/>
    </row>
    <row r="4" customFormat="false" ht="27.75" hidden="false" customHeight="true" outlineLevel="0" collapsed="false">
      <c r="A4" s="4" t="s">
        <v>2</v>
      </c>
      <c r="B4" s="4" t="s">
        <v>1231</v>
      </c>
      <c r="C4" s="4" t="s">
        <v>1232</v>
      </c>
      <c r="D4" s="4" t="s">
        <v>1233</v>
      </c>
      <c r="E4" s="4" t="s">
        <v>1234</v>
      </c>
      <c r="F4" s="4" t="s">
        <v>1235</v>
      </c>
      <c r="G4" s="4" t="s">
        <v>1236</v>
      </c>
      <c r="H4" s="4" t="s">
        <v>1237</v>
      </c>
      <c r="I4" s="4" t="s">
        <v>16</v>
      </c>
    </row>
    <row r="5" customFormat="false" ht="24" hidden="false" customHeight="true" outlineLevel="0" collapsed="false">
      <c r="A5" s="15" t="n">
        <v>1</v>
      </c>
      <c r="B5" s="16" t="s">
        <v>1238</v>
      </c>
      <c r="C5" s="17" t="s">
        <v>1239</v>
      </c>
      <c r="D5" s="17" t="s">
        <v>1240</v>
      </c>
      <c r="E5" s="15" t="s">
        <v>1241</v>
      </c>
      <c r="F5" s="15" t="s">
        <v>1242</v>
      </c>
      <c r="G5" s="15" t="s">
        <v>1243</v>
      </c>
      <c r="H5" s="15" t="s">
        <v>1244</v>
      </c>
    </row>
    <row r="6" customFormat="false" ht="24" hidden="false" customHeight="true" outlineLevel="0" collapsed="false">
      <c r="A6" s="18" t="n">
        <v>2</v>
      </c>
      <c r="B6" s="19" t="s">
        <v>1245</v>
      </c>
      <c r="C6" s="20" t="s">
        <v>1246</v>
      </c>
      <c r="D6" s="20" t="s">
        <v>1247</v>
      </c>
      <c r="E6" s="18" t="s">
        <v>1248</v>
      </c>
      <c r="F6" s="18" t="s">
        <v>1249</v>
      </c>
      <c r="G6" s="18" t="s">
        <v>1250</v>
      </c>
      <c r="H6" s="18" t="s">
        <v>1251</v>
      </c>
    </row>
    <row r="7" customFormat="false" ht="24" hidden="false" customHeight="true" outlineLevel="0" collapsed="false">
      <c r="A7" s="21" t="n">
        <v>3</v>
      </c>
      <c r="B7" s="22" t="s">
        <v>1252</v>
      </c>
      <c r="C7" s="23" t="s">
        <v>1253</v>
      </c>
      <c r="D7" s="23" t="s">
        <v>1254</v>
      </c>
      <c r="E7" s="21" t="s">
        <v>1255</v>
      </c>
      <c r="F7" s="21" t="s">
        <v>1256</v>
      </c>
      <c r="G7" s="21" t="s">
        <v>1257</v>
      </c>
      <c r="H7" s="21" t="s">
        <v>1258</v>
      </c>
    </row>
    <row r="8" customFormat="false" ht="24" hidden="false" customHeight="true" outlineLevel="0" collapsed="false">
      <c r="A8" s="24" t="n">
        <v>4</v>
      </c>
      <c r="B8" s="25" t="s">
        <v>1259</v>
      </c>
      <c r="C8" s="26" t="s">
        <v>1260</v>
      </c>
      <c r="D8" s="26" t="s">
        <v>1261</v>
      </c>
      <c r="E8" s="24" t="s">
        <v>1262</v>
      </c>
      <c r="F8" s="24" t="s">
        <v>1263</v>
      </c>
      <c r="G8" s="24" t="s">
        <v>1264</v>
      </c>
      <c r="H8" s="24" t="s">
        <v>1265</v>
      </c>
    </row>
    <row r="9" customFormat="false" ht="24" hidden="false" customHeight="true" outlineLevel="0" collapsed="false">
      <c r="A9" s="27" t="n">
        <v>5</v>
      </c>
      <c r="B9" s="28" t="s">
        <v>1266</v>
      </c>
      <c r="C9" s="29" t="s">
        <v>1267</v>
      </c>
      <c r="D9" s="29" t="s">
        <v>1268</v>
      </c>
      <c r="E9" s="27" t="s">
        <v>1269</v>
      </c>
      <c r="F9" s="27" t="s">
        <v>1270</v>
      </c>
      <c r="G9" s="27" t="s">
        <v>1241</v>
      </c>
      <c r="H9" s="27" t="s">
        <v>1271</v>
      </c>
    </row>
    <row r="11" customFormat="false" ht="25.5" hidden="false" customHeight="true" outlineLevel="0" collapsed="false">
      <c r="A11" s="14" t="s">
        <v>1272</v>
      </c>
      <c r="B11" s="14"/>
      <c r="C11" s="14"/>
      <c r="D11" s="14"/>
      <c r="E11" s="14"/>
      <c r="F11" s="14"/>
      <c r="G11" s="14"/>
      <c r="H11" s="14"/>
      <c r="I11" s="14"/>
    </row>
    <row r="12" customFormat="false" ht="27.75" hidden="false" customHeight="true" outlineLevel="0" collapsed="false">
      <c r="A12" s="4" t="s">
        <v>2</v>
      </c>
      <c r="B12" s="4" t="s">
        <v>1273</v>
      </c>
      <c r="C12" s="4" t="s">
        <v>1274</v>
      </c>
      <c r="D12" s="4" t="s">
        <v>1275</v>
      </c>
      <c r="E12" s="4" t="s">
        <v>1276</v>
      </c>
      <c r="F12" s="4" t="s">
        <v>1232</v>
      </c>
      <c r="G12" s="4" t="s">
        <v>1277</v>
      </c>
      <c r="H12" s="4" t="s">
        <v>1278</v>
      </c>
      <c r="I12" s="4" t="s">
        <v>1279</v>
      </c>
    </row>
    <row r="13" customFormat="false" ht="25.5" hidden="false" customHeight="true" outlineLevel="0" collapsed="false">
      <c r="A13" s="15" t="n">
        <v>1</v>
      </c>
      <c r="B13" s="16" t="s">
        <v>1280</v>
      </c>
      <c r="C13" s="15" t="s">
        <v>1281</v>
      </c>
      <c r="D13" s="15" t="s">
        <v>1282</v>
      </c>
      <c r="E13" s="15" t="s">
        <v>1283</v>
      </c>
      <c r="F13" s="15" t="s">
        <v>1284</v>
      </c>
      <c r="G13" s="15" t="s">
        <v>1285</v>
      </c>
      <c r="H13" s="15" t="s">
        <v>1286</v>
      </c>
      <c r="I13" s="16" t="s">
        <v>1287</v>
      </c>
    </row>
    <row r="14" customFormat="false" ht="25.5" hidden="false" customHeight="true" outlineLevel="0" collapsed="false">
      <c r="A14" s="18" t="n">
        <v>2</v>
      </c>
      <c r="B14" s="19" t="s">
        <v>1288</v>
      </c>
      <c r="C14" s="18" t="s">
        <v>1289</v>
      </c>
      <c r="D14" s="18" t="s">
        <v>1290</v>
      </c>
      <c r="E14" s="18" t="s">
        <v>1291</v>
      </c>
      <c r="F14" s="18" t="s">
        <v>1292</v>
      </c>
      <c r="G14" s="18" t="s">
        <v>1293</v>
      </c>
      <c r="H14" s="18" t="s">
        <v>1294</v>
      </c>
      <c r="I14" s="19" t="s">
        <v>1295</v>
      </c>
    </row>
    <row r="15" customFormat="false" ht="25.5" hidden="false" customHeight="true" outlineLevel="0" collapsed="false">
      <c r="A15" s="30" t="n">
        <v>3</v>
      </c>
      <c r="B15" s="30" t="s">
        <v>1296</v>
      </c>
      <c r="C15" s="30" t="s">
        <v>1297</v>
      </c>
      <c r="D15" s="30" t="s">
        <v>1298</v>
      </c>
      <c r="E15" s="30" t="s">
        <v>1299</v>
      </c>
      <c r="F15" s="30" t="s">
        <v>1300</v>
      </c>
      <c r="G15" s="30" t="s">
        <v>1301</v>
      </c>
      <c r="H15" s="30" t="s">
        <v>1302</v>
      </c>
      <c r="I15" s="30" t="s">
        <v>1303</v>
      </c>
    </row>
    <row r="16" customFormat="false" ht="25.5" hidden="false" customHeight="true" outlineLevel="0" collapsed="false">
      <c r="A16" s="24" t="n">
        <v>4</v>
      </c>
      <c r="B16" s="25" t="s">
        <v>1304</v>
      </c>
      <c r="C16" s="24" t="s">
        <v>1305</v>
      </c>
      <c r="D16" s="24" t="s">
        <v>1306</v>
      </c>
      <c r="E16" s="24" t="s">
        <v>1307</v>
      </c>
      <c r="F16" s="24" t="s">
        <v>1308</v>
      </c>
      <c r="G16" s="24" t="s">
        <v>1309</v>
      </c>
      <c r="H16" s="24" t="s">
        <v>1310</v>
      </c>
      <c r="I16" s="25" t="s">
        <v>1311</v>
      </c>
    </row>
    <row r="17" customFormat="false" ht="25.5" hidden="false" customHeight="true" outlineLevel="0" collapsed="false">
      <c r="A17" s="31" t="n">
        <v>5</v>
      </c>
      <c r="B17" s="32" t="s">
        <v>1312</v>
      </c>
      <c r="C17" s="31" t="s">
        <v>1313</v>
      </c>
      <c r="D17" s="31" t="s">
        <v>1314</v>
      </c>
      <c r="E17" s="31" t="s">
        <v>1315</v>
      </c>
      <c r="F17" s="31" t="s">
        <v>1316</v>
      </c>
      <c r="G17" s="31" t="s">
        <v>1317</v>
      </c>
      <c r="H17" s="31" t="s">
        <v>1318</v>
      </c>
      <c r="I17" s="32" t="s">
        <v>1319</v>
      </c>
    </row>
    <row r="19" customFormat="false" ht="25.5" hidden="false" customHeight="true" outlineLevel="0" collapsed="false">
      <c r="A19" s="14" t="s">
        <v>1320</v>
      </c>
      <c r="B19" s="14"/>
      <c r="C19" s="14"/>
      <c r="D19" s="14"/>
      <c r="E19" s="14"/>
      <c r="F19" s="14"/>
      <c r="G19" s="14"/>
      <c r="H19" s="14"/>
      <c r="I19" s="14"/>
    </row>
    <row r="20" customFormat="false" ht="25.5" hidden="false" customHeight="true" outlineLevel="0" collapsed="false">
      <c r="A20" s="4" t="s">
        <v>1321</v>
      </c>
      <c r="B20" s="4" t="s">
        <v>1322</v>
      </c>
      <c r="C20" s="4" t="s">
        <v>1323</v>
      </c>
      <c r="D20" s="4" t="s">
        <v>1324</v>
      </c>
      <c r="E20" s="4" t="s">
        <v>1325</v>
      </c>
      <c r="F20" s="4" t="s">
        <v>1326</v>
      </c>
      <c r="G20" s="4" t="s">
        <v>1327</v>
      </c>
      <c r="H20" s="4" t="s">
        <v>1328</v>
      </c>
      <c r="I20" s="4" t="s">
        <v>1329</v>
      </c>
    </row>
    <row r="21" customFormat="false" ht="21.75" hidden="false" customHeight="true" outlineLevel="0" collapsed="false">
      <c r="A21" s="33" t="s">
        <v>1330</v>
      </c>
      <c r="B21" s="34" t="n">
        <v>1</v>
      </c>
      <c r="C21" s="34" t="n">
        <v>2</v>
      </c>
      <c r="D21" s="34" t="n">
        <v>3</v>
      </c>
      <c r="E21" s="34" t="n">
        <v>4</v>
      </c>
      <c r="F21" s="34" t="n">
        <v>5</v>
      </c>
      <c r="G21" s="34" t="n">
        <v>6</v>
      </c>
      <c r="H21" s="34" t="n">
        <v>10</v>
      </c>
      <c r="I21" s="34" t="n">
        <v>15</v>
      </c>
    </row>
    <row r="22" customFormat="false" ht="21.75" hidden="false" customHeight="true" outlineLevel="0" collapsed="false">
      <c r="A22" s="35" t="s">
        <v>1331</v>
      </c>
      <c r="B22" s="36" t="n">
        <v>20000</v>
      </c>
      <c r="C22" s="36" t="n">
        <v>22000</v>
      </c>
      <c r="D22" s="36" t="n">
        <v>25000</v>
      </c>
      <c r="E22" s="36" t="n">
        <v>30000</v>
      </c>
      <c r="F22" s="36" t="n">
        <v>32000</v>
      </c>
      <c r="G22" s="36" t="n">
        <v>35000</v>
      </c>
      <c r="H22" s="36" t="n">
        <v>40000</v>
      </c>
      <c r="I22" s="36" t="n">
        <v>45000</v>
      </c>
    </row>
    <row r="23" customFormat="false" ht="21.75" hidden="false" customHeight="true" outlineLevel="0" collapsed="false">
      <c r="A23" s="33" t="s">
        <v>1332</v>
      </c>
      <c r="B23" s="34" t="n">
        <f aca="false">B22*B21</f>
        <v>20000</v>
      </c>
      <c r="C23" s="34" t="n">
        <f aca="false">C22*C21</f>
        <v>44000</v>
      </c>
      <c r="D23" s="34" t="n">
        <f aca="false">D22*D21</f>
        <v>75000</v>
      </c>
      <c r="E23" s="34" t="n">
        <f aca="false">E22*E21</f>
        <v>120000</v>
      </c>
      <c r="F23" s="34" t="n">
        <f aca="false">F22*F21</f>
        <v>160000</v>
      </c>
      <c r="G23" s="34" t="n">
        <f aca="false">G22*G21</f>
        <v>210000</v>
      </c>
      <c r="H23" s="34" t="n">
        <f aca="false">H22*H21</f>
        <v>400000</v>
      </c>
      <c r="I23" s="34" t="n">
        <f aca="false">I22*I21</f>
        <v>675000</v>
      </c>
    </row>
    <row r="24" customFormat="false" ht="21.75" hidden="false" customHeight="true" outlineLevel="0" collapsed="false">
      <c r="A24" s="35" t="s">
        <v>1333</v>
      </c>
      <c r="B24" s="36" t="n">
        <v>0</v>
      </c>
      <c r="C24" s="36" t="n">
        <v>1</v>
      </c>
      <c r="D24" s="36" t="n">
        <v>3</v>
      </c>
      <c r="E24" s="36" t="n">
        <v>9</v>
      </c>
      <c r="F24" s="36" t="n">
        <v>16</v>
      </c>
      <c r="G24" s="36" t="n">
        <v>26</v>
      </c>
      <c r="H24" s="36" t="n">
        <v>55</v>
      </c>
      <c r="I24" s="36" t="n">
        <v>95</v>
      </c>
    </row>
    <row r="25" customFormat="false" ht="21.75" hidden="false" customHeight="true" outlineLevel="0" collapsed="false">
      <c r="A25" s="33" t="s">
        <v>1334</v>
      </c>
      <c r="B25" s="34" t="n">
        <v>2500</v>
      </c>
      <c r="C25" s="34" t="n">
        <v>2500</v>
      </c>
      <c r="D25" s="34" t="n">
        <v>2500</v>
      </c>
      <c r="E25" s="34" t="n">
        <v>3000</v>
      </c>
      <c r="F25" s="34" t="n">
        <v>3000</v>
      </c>
      <c r="G25" s="34" t="n">
        <v>3500</v>
      </c>
      <c r="H25" s="34" t="n">
        <v>3500</v>
      </c>
      <c r="I25" s="34" t="n">
        <v>4000</v>
      </c>
    </row>
    <row r="26" customFormat="false" ht="21.75" hidden="false" customHeight="true" outlineLevel="0" collapsed="false">
      <c r="A26" s="35" t="s">
        <v>1335</v>
      </c>
      <c r="B26" s="36" t="n">
        <f aca="false">B25*B24</f>
        <v>0</v>
      </c>
      <c r="C26" s="36" t="n">
        <f aca="false">C25*C24</f>
        <v>2500</v>
      </c>
      <c r="D26" s="36" t="n">
        <f aca="false">D25*D24</f>
        <v>7500</v>
      </c>
      <c r="E26" s="36" t="n">
        <f aca="false">E25*E24</f>
        <v>27000</v>
      </c>
      <c r="F26" s="36" t="n">
        <f aca="false">F25*F24</f>
        <v>48000</v>
      </c>
      <c r="G26" s="36" t="n">
        <f aca="false">G25*G24</f>
        <v>91000</v>
      </c>
      <c r="H26" s="36" t="n">
        <f aca="false">H25*H24</f>
        <v>192500</v>
      </c>
      <c r="I26" s="36" t="n">
        <f aca="false">I25*I24</f>
        <v>380000</v>
      </c>
    </row>
    <row r="27" customFormat="false" ht="21.75" hidden="false" customHeight="true" outlineLevel="0" collapsed="false">
      <c r="A27" s="33" t="s">
        <v>1336</v>
      </c>
      <c r="B27" s="34" t="n">
        <v>0</v>
      </c>
      <c r="C27" s="34" t="n">
        <v>0</v>
      </c>
      <c r="D27" s="34" t="n">
        <v>1000</v>
      </c>
      <c r="E27" s="34" t="n">
        <v>3000</v>
      </c>
      <c r="F27" s="34" t="n">
        <v>6000</v>
      </c>
      <c r="G27" s="34" t="n">
        <v>10000</v>
      </c>
      <c r="H27" s="34" t="n">
        <v>22000</v>
      </c>
      <c r="I27" s="34" t="n">
        <v>40000</v>
      </c>
    </row>
    <row r="28" customFormat="false" ht="21.75" hidden="false" customHeight="true" outlineLevel="0" collapsed="false">
      <c r="A28" s="37" t="s">
        <v>1337</v>
      </c>
      <c r="B28" s="37" t="n">
        <f aca="false">B23+B26+B27</f>
        <v>20000</v>
      </c>
      <c r="C28" s="37" t="n">
        <f aca="false">C23+C26+C27</f>
        <v>46500</v>
      </c>
      <c r="D28" s="37" t="n">
        <f aca="false">D23+D26+D27</f>
        <v>83500</v>
      </c>
      <c r="E28" s="37" t="n">
        <f aca="false">E23+E26+E27</f>
        <v>150000</v>
      </c>
      <c r="F28" s="37" t="n">
        <f aca="false">F23+F26+F27</f>
        <v>214000</v>
      </c>
      <c r="G28" s="37" t="n">
        <f aca="false">G23+G26+G27</f>
        <v>311000</v>
      </c>
      <c r="H28" s="37" t="n">
        <f aca="false">H23+H26+H27</f>
        <v>614500</v>
      </c>
      <c r="I28" s="37" t="n">
        <f aca="false">I23+I26+I27</f>
        <v>1095000</v>
      </c>
    </row>
  </sheetData>
  <mergeCells count="4">
    <mergeCell ref="A1:I1"/>
    <mergeCell ref="A3:I3"/>
    <mergeCell ref="A11:I11"/>
    <mergeCell ref="A19:I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7E22"/>
    <pageSetUpPr fitToPage="false"/>
  </sheetPr>
  <dimension ref="A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6" min="3" style="1" width="18"/>
    <col collapsed="false" customWidth="true" hidden="false" outlineLevel="0" max="7" min="7" style="1" width="22"/>
    <col collapsed="false" customWidth="true" hidden="false" outlineLevel="0" max="8" min="8" style="1" width="32"/>
  </cols>
  <sheetData>
    <row r="1" customFormat="false" ht="33.75" hidden="false" customHeight="true" outlineLevel="0" collapsed="false">
      <c r="A1" s="13" t="s">
        <v>1338</v>
      </c>
      <c r="B1" s="13"/>
      <c r="C1" s="13"/>
      <c r="D1" s="13"/>
      <c r="E1" s="13"/>
      <c r="F1" s="13"/>
      <c r="G1" s="13"/>
      <c r="H1" s="13"/>
    </row>
    <row r="2" customFormat="false" ht="18" hidden="false" customHeight="true" outlineLevel="0" collapsed="false">
      <c r="A2" s="3" t="s">
        <v>1339</v>
      </c>
      <c r="B2" s="3"/>
      <c r="C2" s="3"/>
      <c r="D2" s="3"/>
      <c r="E2" s="3"/>
      <c r="F2" s="3"/>
      <c r="G2" s="3"/>
      <c r="H2" s="3"/>
    </row>
    <row r="4" customFormat="false" ht="25.5" hidden="false" customHeight="true" outlineLevel="0" collapsed="false">
      <c r="A4" s="14" t="s">
        <v>1340</v>
      </c>
      <c r="B4" s="14"/>
      <c r="C4" s="14"/>
      <c r="D4" s="14"/>
      <c r="E4" s="14"/>
      <c r="F4" s="14"/>
      <c r="G4" s="14"/>
      <c r="H4" s="14"/>
    </row>
    <row r="5" customFormat="false" ht="27.75" hidden="false" customHeight="true" outlineLevel="0" collapsed="false">
      <c r="A5" s="4" t="s">
        <v>1341</v>
      </c>
      <c r="B5" s="4" t="s">
        <v>1342</v>
      </c>
      <c r="C5" s="4" t="s">
        <v>1343</v>
      </c>
      <c r="D5" s="4" t="s">
        <v>1344</v>
      </c>
      <c r="E5" s="4" t="s">
        <v>1345</v>
      </c>
      <c r="F5" s="4" t="s">
        <v>1346</v>
      </c>
      <c r="G5" s="4" t="s">
        <v>1347</v>
      </c>
      <c r="H5" s="4" t="s">
        <v>16</v>
      </c>
    </row>
    <row r="6" customFormat="false" ht="27.75" hidden="false" customHeight="true" outlineLevel="0" collapsed="false">
      <c r="A6" s="38" t="s">
        <v>1348</v>
      </c>
      <c r="B6" s="39" t="s">
        <v>1349</v>
      </c>
      <c r="C6" s="39" t="s">
        <v>1350</v>
      </c>
      <c r="D6" s="39" t="s">
        <v>1351</v>
      </c>
      <c r="E6" s="39" t="s">
        <v>1352</v>
      </c>
      <c r="F6" s="39" t="s">
        <v>1353</v>
      </c>
      <c r="G6" s="39" t="s">
        <v>1354</v>
      </c>
      <c r="H6" s="40" t="s">
        <v>1355</v>
      </c>
    </row>
    <row r="7" customFormat="false" ht="27.75" hidden="false" customHeight="true" outlineLevel="0" collapsed="false">
      <c r="A7" s="41" t="s">
        <v>1356</v>
      </c>
      <c r="B7" s="42" t="s">
        <v>1357</v>
      </c>
      <c r="C7" s="42" t="s">
        <v>1358</v>
      </c>
      <c r="D7" s="42" t="s">
        <v>1315</v>
      </c>
      <c r="E7" s="42" t="s">
        <v>1359</v>
      </c>
      <c r="F7" s="42" t="s">
        <v>1360</v>
      </c>
      <c r="G7" s="42" t="s">
        <v>1361</v>
      </c>
      <c r="H7" s="43" t="s">
        <v>1362</v>
      </c>
    </row>
    <row r="8" customFormat="false" ht="27.75" hidden="false" customHeight="true" outlineLevel="0" collapsed="false">
      <c r="A8" s="44" t="s">
        <v>1363</v>
      </c>
      <c r="B8" s="45" t="s">
        <v>1364</v>
      </c>
      <c r="C8" s="45" t="s">
        <v>1365</v>
      </c>
      <c r="D8" s="45" t="s">
        <v>1366</v>
      </c>
      <c r="E8" s="45" t="s">
        <v>1367</v>
      </c>
      <c r="F8" s="45" t="s">
        <v>1368</v>
      </c>
      <c r="G8" s="45" t="s">
        <v>1369</v>
      </c>
      <c r="H8" s="46" t="s">
        <v>1370</v>
      </c>
    </row>
    <row r="9" customFormat="false" ht="27.75" hidden="false" customHeight="true" outlineLevel="0" collapsed="false">
      <c r="A9" s="47" t="s">
        <v>1371</v>
      </c>
      <c r="B9" s="48" t="s">
        <v>1372</v>
      </c>
      <c r="C9" s="48" t="s">
        <v>1373</v>
      </c>
      <c r="D9" s="48" t="s">
        <v>1374</v>
      </c>
      <c r="E9" s="48" t="s">
        <v>1375</v>
      </c>
      <c r="F9" s="48" t="s">
        <v>1368</v>
      </c>
      <c r="G9" s="48" t="s">
        <v>1369</v>
      </c>
      <c r="H9" s="49" t="s">
        <v>1376</v>
      </c>
    </row>
    <row r="10" customFormat="false" ht="27.75" hidden="false" customHeight="true" outlineLevel="0" collapsed="false">
      <c r="A10" s="50" t="s">
        <v>1377</v>
      </c>
      <c r="B10" s="51" t="s">
        <v>1372</v>
      </c>
      <c r="C10" s="51" t="s">
        <v>1378</v>
      </c>
      <c r="D10" s="51" t="s">
        <v>1315</v>
      </c>
      <c r="E10" s="51" t="s">
        <v>1359</v>
      </c>
      <c r="F10" s="51" t="s">
        <v>1360</v>
      </c>
      <c r="G10" s="51" t="s">
        <v>1361</v>
      </c>
      <c r="H10" s="52" t="s">
        <v>1379</v>
      </c>
    </row>
    <row r="11" customFormat="false" ht="27.75" hidden="false" customHeight="true" outlineLevel="0" collapsed="false">
      <c r="A11" s="38" t="s">
        <v>1380</v>
      </c>
      <c r="B11" s="39" t="s">
        <v>1372</v>
      </c>
      <c r="C11" s="39" t="s">
        <v>1381</v>
      </c>
      <c r="D11" s="39" t="s">
        <v>1374</v>
      </c>
      <c r="E11" s="39" t="s">
        <v>1375</v>
      </c>
      <c r="F11" s="39" t="s">
        <v>1368</v>
      </c>
      <c r="G11" s="39" t="s">
        <v>1369</v>
      </c>
      <c r="H11" s="40" t="s">
        <v>1382</v>
      </c>
    </row>
    <row r="12" customFormat="false" ht="27.75" hidden="false" customHeight="true" outlineLevel="0" collapsed="false">
      <c r="A12" s="41" t="s">
        <v>1383</v>
      </c>
      <c r="B12" s="42" t="s">
        <v>1384</v>
      </c>
      <c r="C12" s="42" t="s">
        <v>1385</v>
      </c>
      <c r="D12" s="42" t="s">
        <v>1386</v>
      </c>
      <c r="E12" s="42" t="s">
        <v>1387</v>
      </c>
      <c r="F12" s="42" t="s">
        <v>1368</v>
      </c>
      <c r="G12" s="42" t="s">
        <v>1369</v>
      </c>
      <c r="H12" s="43" t="s">
        <v>1388</v>
      </c>
    </row>
    <row r="13" customFormat="false" ht="27.75" hidden="false" customHeight="true" outlineLevel="0" collapsed="false">
      <c r="A13" s="44" t="s">
        <v>1389</v>
      </c>
      <c r="B13" s="45" t="s">
        <v>1390</v>
      </c>
      <c r="C13" s="45" t="s">
        <v>1391</v>
      </c>
      <c r="D13" s="45" t="s">
        <v>1315</v>
      </c>
      <c r="E13" s="45" t="s">
        <v>1359</v>
      </c>
      <c r="F13" s="45" t="s">
        <v>1392</v>
      </c>
      <c r="G13" s="45" t="s">
        <v>1361</v>
      </c>
      <c r="H13" s="46" t="s">
        <v>1393</v>
      </c>
    </row>
    <row r="14" customFormat="false" ht="27.75" hidden="false" customHeight="true" outlineLevel="0" collapsed="false">
      <c r="A14" s="47" t="s">
        <v>1394</v>
      </c>
      <c r="B14" s="48" t="s">
        <v>1395</v>
      </c>
      <c r="C14" s="48" t="s">
        <v>1396</v>
      </c>
      <c r="D14" s="48" t="s">
        <v>1397</v>
      </c>
      <c r="E14" s="48" t="s">
        <v>1398</v>
      </c>
      <c r="F14" s="48" t="s">
        <v>1399</v>
      </c>
      <c r="G14" s="48" t="s">
        <v>1400</v>
      </c>
      <c r="H14" s="49" t="s">
        <v>1401</v>
      </c>
    </row>
    <row r="15" customFormat="false" ht="27.75" hidden="false" customHeight="true" outlineLevel="0" collapsed="false">
      <c r="A15" s="50" t="s">
        <v>1402</v>
      </c>
      <c r="B15" s="51" t="s">
        <v>1403</v>
      </c>
      <c r="C15" s="51" t="s">
        <v>1385</v>
      </c>
      <c r="D15" s="51" t="s">
        <v>1315</v>
      </c>
      <c r="E15" s="51" t="s">
        <v>1359</v>
      </c>
      <c r="F15" s="51" t="s">
        <v>1360</v>
      </c>
      <c r="G15" s="51" t="s">
        <v>1361</v>
      </c>
      <c r="H15" s="52" t="s">
        <v>1404</v>
      </c>
    </row>
    <row r="16" customFormat="false" ht="27.75" hidden="false" customHeight="true" outlineLevel="0" collapsed="false">
      <c r="A16" s="38" t="s">
        <v>1405</v>
      </c>
      <c r="B16" s="39" t="s">
        <v>1406</v>
      </c>
      <c r="C16" s="39" t="s">
        <v>1407</v>
      </c>
      <c r="D16" s="39" t="s">
        <v>1408</v>
      </c>
      <c r="E16" s="39" t="s">
        <v>1409</v>
      </c>
      <c r="F16" s="39" t="s">
        <v>1368</v>
      </c>
      <c r="G16" s="39" t="s">
        <v>1410</v>
      </c>
      <c r="H16" s="40" t="s">
        <v>1411</v>
      </c>
    </row>
    <row r="18" customFormat="false" ht="25.5" hidden="false" customHeight="true" outlineLevel="0" collapsed="false">
      <c r="A18" s="14" t="s">
        <v>1412</v>
      </c>
      <c r="B18" s="14"/>
      <c r="C18" s="14"/>
      <c r="D18" s="14"/>
      <c r="E18" s="14"/>
      <c r="F18" s="14"/>
      <c r="G18" s="14"/>
      <c r="H18" s="14"/>
    </row>
    <row r="19" customFormat="false" ht="27.75" hidden="false" customHeight="true" outlineLevel="0" collapsed="false">
      <c r="A19" s="4" t="s">
        <v>1413</v>
      </c>
      <c r="B19" s="4" t="s">
        <v>1342</v>
      </c>
      <c r="C19" s="4" t="s">
        <v>1414</v>
      </c>
      <c r="D19" s="4" t="s">
        <v>1415</v>
      </c>
      <c r="E19" s="4" t="s">
        <v>1416</v>
      </c>
      <c r="F19" s="4" t="s">
        <v>1417</v>
      </c>
      <c r="G19" s="4" t="s">
        <v>1418</v>
      </c>
      <c r="H19" s="4" t="s">
        <v>1419</v>
      </c>
    </row>
    <row r="20" customFormat="false" ht="30" hidden="false" customHeight="true" outlineLevel="0" collapsed="false">
      <c r="A20" s="38" t="s">
        <v>1420</v>
      </c>
      <c r="B20" s="39" t="s">
        <v>1364</v>
      </c>
      <c r="C20" s="39" t="s">
        <v>1421</v>
      </c>
      <c r="D20" s="39" t="s">
        <v>1422</v>
      </c>
      <c r="E20" s="39" t="s">
        <v>1277</v>
      </c>
      <c r="F20" s="39" t="s">
        <v>1423</v>
      </c>
      <c r="G20" s="40" t="s">
        <v>1424</v>
      </c>
      <c r="H20" s="40" t="s">
        <v>1425</v>
      </c>
    </row>
    <row r="21" customFormat="false" ht="30" hidden="false" customHeight="true" outlineLevel="0" collapsed="false">
      <c r="A21" s="41" t="s">
        <v>1426</v>
      </c>
      <c r="B21" s="42" t="s">
        <v>1372</v>
      </c>
      <c r="C21" s="42" t="s">
        <v>1427</v>
      </c>
      <c r="D21" s="42" t="s">
        <v>1422</v>
      </c>
      <c r="E21" s="42" t="s">
        <v>1277</v>
      </c>
      <c r="F21" s="42" t="s">
        <v>1428</v>
      </c>
      <c r="G21" s="43" t="s">
        <v>1429</v>
      </c>
      <c r="H21" s="43" t="s">
        <v>1430</v>
      </c>
    </row>
    <row r="22" customFormat="false" ht="30" hidden="false" customHeight="true" outlineLevel="0" collapsed="false">
      <c r="A22" s="44" t="s">
        <v>1431</v>
      </c>
      <c r="B22" s="45" t="s">
        <v>1372</v>
      </c>
      <c r="C22" s="45" t="s">
        <v>1432</v>
      </c>
      <c r="D22" s="45" t="s">
        <v>1422</v>
      </c>
      <c r="E22" s="45" t="s">
        <v>1433</v>
      </c>
      <c r="F22" s="45" t="s">
        <v>1360</v>
      </c>
      <c r="G22" s="46" t="s">
        <v>1434</v>
      </c>
      <c r="H22" s="46" t="s">
        <v>1435</v>
      </c>
    </row>
    <row r="23" customFormat="false" ht="30" hidden="false" customHeight="true" outlineLevel="0" collapsed="false">
      <c r="A23" s="47" t="s">
        <v>1436</v>
      </c>
      <c r="B23" s="48" t="s">
        <v>1372</v>
      </c>
      <c r="C23" s="48" t="s">
        <v>1437</v>
      </c>
      <c r="D23" s="48" t="s">
        <v>1422</v>
      </c>
      <c r="E23" s="48" t="s">
        <v>1433</v>
      </c>
      <c r="F23" s="48" t="s">
        <v>1360</v>
      </c>
      <c r="G23" s="49" t="s">
        <v>1438</v>
      </c>
      <c r="H23" s="49" t="s">
        <v>1439</v>
      </c>
    </row>
    <row r="24" customFormat="false" ht="30" hidden="false" customHeight="true" outlineLevel="0" collapsed="false">
      <c r="A24" s="50" t="s">
        <v>1440</v>
      </c>
      <c r="B24" s="51" t="s">
        <v>1372</v>
      </c>
      <c r="C24" s="51" t="s">
        <v>1441</v>
      </c>
      <c r="D24" s="51" t="s">
        <v>1422</v>
      </c>
      <c r="E24" s="51" t="s">
        <v>1433</v>
      </c>
      <c r="F24" s="51" t="s">
        <v>1360</v>
      </c>
      <c r="G24" s="52" t="s">
        <v>1442</v>
      </c>
      <c r="H24" s="52" t="s">
        <v>1443</v>
      </c>
    </row>
    <row r="25" customFormat="false" ht="30" hidden="false" customHeight="true" outlineLevel="0" collapsed="false">
      <c r="A25" s="38" t="s">
        <v>1444</v>
      </c>
      <c r="B25" s="39" t="s">
        <v>1364</v>
      </c>
      <c r="C25" s="39" t="s">
        <v>1445</v>
      </c>
      <c r="D25" s="39" t="s">
        <v>1422</v>
      </c>
      <c r="E25" s="39" t="s">
        <v>1433</v>
      </c>
      <c r="F25" s="39" t="s">
        <v>1360</v>
      </c>
      <c r="G25" s="40" t="s">
        <v>1446</v>
      </c>
      <c r="H25" s="40" t="s">
        <v>1447</v>
      </c>
    </row>
    <row r="26" customFormat="false" ht="30" hidden="false" customHeight="true" outlineLevel="0" collapsed="false">
      <c r="A26" s="41" t="s">
        <v>1448</v>
      </c>
      <c r="B26" s="42" t="s">
        <v>1449</v>
      </c>
      <c r="C26" s="42" t="s">
        <v>1450</v>
      </c>
      <c r="D26" s="42" t="s">
        <v>1422</v>
      </c>
      <c r="E26" s="42" t="s">
        <v>1451</v>
      </c>
      <c r="F26" s="42" t="s">
        <v>1452</v>
      </c>
      <c r="G26" s="43" t="s">
        <v>1453</v>
      </c>
      <c r="H26" s="43" t="s">
        <v>1454</v>
      </c>
    </row>
    <row r="27" customFormat="false" ht="30" hidden="false" customHeight="true" outlineLevel="0" collapsed="false">
      <c r="A27" s="44" t="s">
        <v>1455</v>
      </c>
      <c r="B27" s="45" t="s">
        <v>1456</v>
      </c>
      <c r="C27" s="45" t="s">
        <v>1457</v>
      </c>
      <c r="D27" s="45" t="s">
        <v>1422</v>
      </c>
      <c r="E27" s="45" t="s">
        <v>1458</v>
      </c>
      <c r="F27" s="45" t="s">
        <v>1459</v>
      </c>
      <c r="G27" s="46" t="s">
        <v>1460</v>
      </c>
      <c r="H27" s="46" t="s">
        <v>1461</v>
      </c>
    </row>
    <row r="29" customFormat="false" ht="25.5" hidden="false" customHeight="true" outlineLevel="0" collapsed="false">
      <c r="A29" s="14" t="s">
        <v>1462</v>
      </c>
      <c r="B29" s="14"/>
      <c r="C29" s="14"/>
      <c r="D29" s="14"/>
      <c r="E29" s="14"/>
      <c r="F29" s="14"/>
      <c r="G29" s="14"/>
      <c r="H29" s="14"/>
    </row>
    <row r="30" customFormat="false" ht="27.75" hidden="false" customHeight="true" outlineLevel="0" collapsed="false">
      <c r="A30" s="4" t="s">
        <v>1463</v>
      </c>
      <c r="B30" s="4" t="s">
        <v>1464</v>
      </c>
      <c r="C30" s="4" t="s">
        <v>1465</v>
      </c>
      <c r="D30" s="4" t="s">
        <v>1466</v>
      </c>
      <c r="E30" s="4" t="s">
        <v>1467</v>
      </c>
      <c r="F30" s="4" t="s">
        <v>1468</v>
      </c>
      <c r="G30" s="4" t="s">
        <v>16</v>
      </c>
      <c r="H30" s="4" t="s">
        <v>1469</v>
      </c>
    </row>
    <row r="31" customFormat="false" ht="27.75" hidden="false" customHeight="true" outlineLevel="0" collapsed="false">
      <c r="A31" s="38" t="s">
        <v>1470</v>
      </c>
      <c r="B31" s="39" t="s">
        <v>1471</v>
      </c>
      <c r="C31" s="39" t="s">
        <v>1472</v>
      </c>
      <c r="D31" s="39" t="s">
        <v>1472</v>
      </c>
      <c r="E31" s="39" t="s">
        <v>1472</v>
      </c>
      <c r="F31" s="39" t="s">
        <v>1473</v>
      </c>
      <c r="G31" s="40" t="s">
        <v>1474</v>
      </c>
      <c r="H31" s="40" t="s">
        <v>1475</v>
      </c>
    </row>
    <row r="32" customFormat="false" ht="27.75" hidden="false" customHeight="true" outlineLevel="0" collapsed="false">
      <c r="A32" s="41" t="s">
        <v>1476</v>
      </c>
      <c r="B32" s="42" t="s">
        <v>1471</v>
      </c>
      <c r="C32" s="42" t="s">
        <v>1477</v>
      </c>
      <c r="D32" s="42" t="s">
        <v>1478</v>
      </c>
      <c r="E32" s="42" t="s">
        <v>1479</v>
      </c>
      <c r="F32" s="42" t="s">
        <v>1480</v>
      </c>
      <c r="G32" s="43" t="s">
        <v>1481</v>
      </c>
      <c r="H32" s="43" t="s">
        <v>1482</v>
      </c>
    </row>
    <row r="33" customFormat="false" ht="27.75" hidden="false" customHeight="true" outlineLevel="0" collapsed="false">
      <c r="A33" s="44" t="s">
        <v>1483</v>
      </c>
      <c r="B33" s="45" t="s">
        <v>1484</v>
      </c>
      <c r="C33" s="45" t="s">
        <v>1485</v>
      </c>
      <c r="D33" s="45" t="s">
        <v>1486</v>
      </c>
      <c r="E33" s="45" t="s">
        <v>1487</v>
      </c>
      <c r="F33" s="45" t="s">
        <v>1488</v>
      </c>
      <c r="G33" s="46" t="s">
        <v>1489</v>
      </c>
      <c r="H33" s="46" t="s">
        <v>1490</v>
      </c>
    </row>
    <row r="34" customFormat="false" ht="27.75" hidden="false" customHeight="true" outlineLevel="0" collapsed="false">
      <c r="A34" s="47" t="s">
        <v>1491</v>
      </c>
      <c r="B34" s="48" t="s">
        <v>1471</v>
      </c>
      <c r="C34" s="48" t="s">
        <v>1471</v>
      </c>
      <c r="D34" s="48" t="s">
        <v>1492</v>
      </c>
      <c r="E34" s="48" t="s">
        <v>1492</v>
      </c>
      <c r="F34" s="48" t="s">
        <v>1493</v>
      </c>
      <c r="G34" s="49" t="s">
        <v>1494</v>
      </c>
      <c r="H34" s="49" t="s">
        <v>1495</v>
      </c>
    </row>
    <row r="35" customFormat="false" ht="27.75" hidden="false" customHeight="true" outlineLevel="0" collapsed="false">
      <c r="A35" s="50" t="s">
        <v>1496</v>
      </c>
      <c r="B35" s="51" t="s">
        <v>1471</v>
      </c>
      <c r="C35" s="51" t="s">
        <v>1471</v>
      </c>
      <c r="D35" s="51" t="s">
        <v>1471</v>
      </c>
      <c r="E35" s="51" t="s">
        <v>1497</v>
      </c>
      <c r="F35" s="51" t="s">
        <v>1497</v>
      </c>
      <c r="G35" s="52" t="s">
        <v>1498</v>
      </c>
      <c r="H35" s="52" t="s">
        <v>1499</v>
      </c>
    </row>
    <row r="36" customFormat="false" ht="27.75" hidden="false" customHeight="true" outlineLevel="0" collapsed="false">
      <c r="A36" s="53" t="s">
        <v>1500</v>
      </c>
      <c r="B36" s="12" t="n">
        <v>0</v>
      </c>
      <c r="C36" s="12" t="n">
        <v>1700</v>
      </c>
      <c r="D36" s="12" t="n">
        <v>4500</v>
      </c>
      <c r="E36" s="12" t="n">
        <v>8400</v>
      </c>
      <c r="F36" s="12" t="n">
        <v>14800</v>
      </c>
      <c r="G36" s="53"/>
      <c r="H36" s="53" t="s">
        <v>1501</v>
      </c>
    </row>
    <row r="37" customFormat="false" ht="27.75" hidden="false" customHeight="true" outlineLevel="0" collapsed="false">
      <c r="A37" s="54" t="s">
        <v>1502</v>
      </c>
      <c r="B37" s="55" t="n">
        <v>2000</v>
      </c>
      <c r="C37" s="55" t="n">
        <v>10000</v>
      </c>
      <c r="D37" s="55" t="n">
        <v>25000</v>
      </c>
      <c r="E37" s="55" t="n">
        <v>60000</v>
      </c>
      <c r="F37" s="55" t="n">
        <v>175000</v>
      </c>
      <c r="G37" s="54" t="s">
        <v>1503</v>
      </c>
      <c r="H37" s="54" t="s">
        <v>1504</v>
      </c>
    </row>
    <row r="38" customFormat="false" ht="27.75" hidden="false" customHeight="true" outlineLevel="0" collapsed="false">
      <c r="A38" s="56" t="s">
        <v>1505</v>
      </c>
      <c r="B38" s="57" t="n">
        <f aca="false">C37-C36</f>
        <v>8300</v>
      </c>
      <c r="C38" s="57" t="n">
        <f aca="false">D37-D36</f>
        <v>20500</v>
      </c>
      <c r="D38" s="57" t="n">
        <f aca="false">E37-E36</f>
        <v>51600</v>
      </c>
      <c r="E38" s="57" t="n">
        <f aca="false">F37-F36</f>
        <v>160200</v>
      </c>
      <c r="F38" s="57" t="n">
        <f aca="false">F37-F36</f>
        <v>160200</v>
      </c>
      <c r="G38" s="56"/>
      <c r="H38" s="56" t="s">
        <v>1506</v>
      </c>
    </row>
    <row r="40" customFormat="false" ht="25.5" hidden="false" customHeight="true" outlineLevel="0" collapsed="false">
      <c r="A40" s="14" t="s">
        <v>1507</v>
      </c>
      <c r="B40" s="14"/>
      <c r="C40" s="14"/>
      <c r="D40" s="14"/>
      <c r="E40" s="14"/>
      <c r="F40" s="14"/>
      <c r="G40" s="14"/>
      <c r="H40" s="14"/>
    </row>
    <row r="41" customFormat="false" ht="25.5" hidden="false" customHeight="true" outlineLevel="0" collapsed="false">
      <c r="A41" s="4" t="s">
        <v>1508</v>
      </c>
      <c r="B41" s="4" t="s">
        <v>1509</v>
      </c>
      <c r="C41" s="4" t="s">
        <v>1364</v>
      </c>
      <c r="D41" s="4" t="s">
        <v>1372</v>
      </c>
      <c r="E41" s="4" t="s">
        <v>1510</v>
      </c>
      <c r="F41" s="4" t="s">
        <v>1511</v>
      </c>
      <c r="G41" s="4" t="s">
        <v>1512</v>
      </c>
      <c r="H41" s="58" t="s">
        <v>1513</v>
      </c>
    </row>
    <row r="42" customFormat="false" ht="25.5" hidden="false" customHeight="true" outlineLevel="0" collapsed="false">
      <c r="A42" s="16" t="s">
        <v>1514</v>
      </c>
      <c r="B42" s="15" t="s">
        <v>1515</v>
      </c>
      <c r="C42" s="15" t="s">
        <v>1516</v>
      </c>
      <c r="D42" s="15" t="s">
        <v>1517</v>
      </c>
      <c r="E42" s="15" t="s">
        <v>1518</v>
      </c>
      <c r="F42" s="15" t="s">
        <v>1519</v>
      </c>
      <c r="G42" s="15" t="s">
        <v>1520</v>
      </c>
      <c r="H42" s="17" t="s">
        <v>1521</v>
      </c>
    </row>
    <row r="43" customFormat="false" ht="25.5" hidden="false" customHeight="true" outlineLevel="0" collapsed="false">
      <c r="A43" s="19" t="s">
        <v>1522</v>
      </c>
      <c r="B43" s="18" t="s">
        <v>1523</v>
      </c>
      <c r="C43" s="18" t="s">
        <v>1524</v>
      </c>
      <c r="D43" s="18" t="s">
        <v>1525</v>
      </c>
      <c r="E43" s="18" t="s">
        <v>1518</v>
      </c>
      <c r="F43" s="18" t="s">
        <v>1519</v>
      </c>
      <c r="G43" s="18" t="s">
        <v>1526</v>
      </c>
      <c r="H43" s="20" t="s">
        <v>1527</v>
      </c>
    </row>
    <row r="44" customFormat="false" ht="25.5" hidden="false" customHeight="true" outlineLevel="0" collapsed="false">
      <c r="A44" s="22" t="s">
        <v>1528</v>
      </c>
      <c r="B44" s="21" t="s">
        <v>1529</v>
      </c>
      <c r="C44" s="21" t="s">
        <v>1524</v>
      </c>
      <c r="D44" s="21" t="s">
        <v>1530</v>
      </c>
      <c r="E44" s="21" t="s">
        <v>1531</v>
      </c>
      <c r="F44" s="21" t="s">
        <v>1519</v>
      </c>
      <c r="G44" s="21" t="s">
        <v>1532</v>
      </c>
      <c r="H44" s="23" t="s">
        <v>1533</v>
      </c>
    </row>
    <row r="45" customFormat="false" ht="25.5" hidden="false" customHeight="true" outlineLevel="0" collapsed="false">
      <c r="A45" s="59" t="s">
        <v>1534</v>
      </c>
      <c r="B45" s="60" t="s">
        <v>1535</v>
      </c>
      <c r="C45" s="60" t="s">
        <v>1536</v>
      </c>
      <c r="D45" s="60" t="s">
        <v>1537</v>
      </c>
      <c r="E45" s="60" t="s">
        <v>1538</v>
      </c>
      <c r="F45" s="60" t="s">
        <v>1519</v>
      </c>
      <c r="G45" s="60" t="s">
        <v>1539</v>
      </c>
      <c r="H45" s="61" t="s">
        <v>1540</v>
      </c>
    </row>
  </sheetData>
  <mergeCells count="6">
    <mergeCell ref="A1:H1"/>
    <mergeCell ref="A2:H2"/>
    <mergeCell ref="A4:H4"/>
    <mergeCell ref="A18:H18"/>
    <mergeCell ref="A29:H29"/>
    <mergeCell ref="A40:H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4560"/>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0"/>
    <col collapsed="false" customWidth="true" hidden="false" outlineLevel="0" max="3" min="3" style="1" width="16"/>
    <col collapsed="false" customWidth="true" hidden="false" outlineLevel="0" max="5" min="4" style="1" width="46"/>
    <col collapsed="false" customWidth="true" hidden="false" outlineLevel="0" max="6" min="6" style="1" width="30"/>
  </cols>
  <sheetData>
    <row r="1" customFormat="false" ht="33.75" hidden="false" customHeight="true" outlineLevel="0" collapsed="false">
      <c r="A1" s="62" t="s">
        <v>1541</v>
      </c>
      <c r="B1" s="62"/>
      <c r="C1" s="62"/>
      <c r="D1" s="62"/>
      <c r="E1" s="62"/>
      <c r="F1" s="62"/>
    </row>
    <row r="2" customFormat="false" ht="18" hidden="false" customHeight="true" outlineLevel="0" collapsed="false">
      <c r="A2" s="3" t="s">
        <v>1542</v>
      </c>
      <c r="B2" s="3"/>
      <c r="C2" s="3"/>
      <c r="D2" s="3"/>
      <c r="E2" s="3"/>
      <c r="F2" s="3"/>
    </row>
    <row r="3" customFormat="false" ht="27.75" hidden="false" customHeight="true" outlineLevel="0" collapsed="false">
      <c r="A3" s="4" t="s">
        <v>1543</v>
      </c>
      <c r="B3" s="4" t="s">
        <v>1544</v>
      </c>
      <c r="C3" s="4" t="s">
        <v>1545</v>
      </c>
      <c r="D3" s="4" t="s">
        <v>1546</v>
      </c>
      <c r="E3" s="4" t="s">
        <v>1547</v>
      </c>
      <c r="F3" s="4" t="s">
        <v>1548</v>
      </c>
    </row>
    <row r="4" customFormat="false" ht="139.5" hidden="false" customHeight="true" outlineLevel="0" collapsed="false">
      <c r="A4" s="63" t="s">
        <v>1549</v>
      </c>
      <c r="B4" s="64" t="s">
        <v>1550</v>
      </c>
      <c r="C4" s="64" t="s">
        <v>1551</v>
      </c>
      <c r="D4" s="65" t="s">
        <v>1552</v>
      </c>
      <c r="E4" s="65" t="s">
        <v>1553</v>
      </c>
      <c r="F4" s="65" t="s">
        <v>1554</v>
      </c>
    </row>
    <row r="5" customFormat="false" ht="139.5" hidden="false" customHeight="true" outlineLevel="0" collapsed="false">
      <c r="A5" s="63" t="s">
        <v>1555</v>
      </c>
      <c r="B5" s="66" t="s">
        <v>1556</v>
      </c>
      <c r="C5" s="66" t="s">
        <v>1557</v>
      </c>
      <c r="D5" s="67" t="s">
        <v>1558</v>
      </c>
      <c r="E5" s="67" t="s">
        <v>1559</v>
      </c>
      <c r="F5" s="67" t="s">
        <v>1560</v>
      </c>
    </row>
    <row r="6" customFormat="false" ht="139.5" hidden="false" customHeight="true" outlineLevel="0" collapsed="false">
      <c r="A6" s="63" t="s">
        <v>79</v>
      </c>
      <c r="B6" s="64" t="s">
        <v>1561</v>
      </c>
      <c r="C6" s="64" t="s">
        <v>1510</v>
      </c>
      <c r="D6" s="65" t="s">
        <v>1562</v>
      </c>
      <c r="E6" s="65" t="s">
        <v>1563</v>
      </c>
      <c r="F6" s="65" t="s">
        <v>1564</v>
      </c>
    </row>
    <row r="7" customFormat="false" ht="139.5" hidden="false" customHeight="true" outlineLevel="0" collapsed="false">
      <c r="A7" s="63" t="s">
        <v>1565</v>
      </c>
      <c r="B7" s="66" t="s">
        <v>1566</v>
      </c>
      <c r="C7" s="66" t="s">
        <v>1567</v>
      </c>
      <c r="D7" s="67" t="s">
        <v>1568</v>
      </c>
      <c r="E7" s="67" t="s">
        <v>1569</v>
      </c>
      <c r="F7" s="67" t="s">
        <v>1570</v>
      </c>
    </row>
    <row r="8" customFormat="false" ht="139.5" hidden="false" customHeight="true" outlineLevel="0" collapsed="false">
      <c r="A8" s="63" t="s">
        <v>1571</v>
      </c>
      <c r="B8" s="64" t="s">
        <v>1572</v>
      </c>
      <c r="C8" s="64" t="s">
        <v>1573</v>
      </c>
      <c r="D8" s="65" t="s">
        <v>1574</v>
      </c>
      <c r="E8" s="65" t="s">
        <v>1575</v>
      </c>
      <c r="F8" s="65" t="s">
        <v>1576</v>
      </c>
    </row>
    <row r="9" customFormat="false" ht="139.5" hidden="false" customHeight="true" outlineLevel="0" collapsed="false">
      <c r="A9" s="63" t="s">
        <v>1577</v>
      </c>
      <c r="B9" s="66" t="s">
        <v>1578</v>
      </c>
      <c r="C9" s="66" t="s">
        <v>1579</v>
      </c>
      <c r="D9" s="67" t="s">
        <v>1580</v>
      </c>
      <c r="E9" s="67" t="s">
        <v>1581</v>
      </c>
      <c r="F9" s="67" t="s">
        <v>1582</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44AD"/>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3" min="2" style="1" width="18"/>
    <col collapsed="false" customWidth="true" hidden="false" outlineLevel="0" max="5" min="4" style="1" width="22"/>
    <col collapsed="false" customWidth="true" hidden="false" outlineLevel="0" max="6" min="6" style="1" width="18"/>
    <col collapsed="false" customWidth="true" hidden="false" outlineLevel="0" max="7" min="7" style="1" width="20"/>
    <col collapsed="false" customWidth="true" hidden="false" outlineLevel="0" max="8" min="8" style="1" width="24"/>
  </cols>
  <sheetData>
    <row r="1" customFormat="false" ht="33.75" hidden="false" customHeight="true" outlineLevel="0" collapsed="false">
      <c r="A1" s="13" t="s">
        <v>1583</v>
      </c>
      <c r="B1" s="13"/>
      <c r="C1" s="13"/>
      <c r="D1" s="13"/>
      <c r="E1" s="13"/>
      <c r="F1" s="13"/>
      <c r="G1" s="13"/>
      <c r="H1" s="13"/>
    </row>
    <row r="3" customFormat="false" ht="25.5" hidden="false" customHeight="true" outlineLevel="0" collapsed="false">
      <c r="A3" s="14" t="s">
        <v>1584</v>
      </c>
      <c r="B3" s="14"/>
      <c r="C3" s="14"/>
      <c r="D3" s="14"/>
      <c r="E3" s="14"/>
      <c r="F3" s="14"/>
      <c r="G3" s="14"/>
      <c r="H3" s="14"/>
    </row>
    <row r="4" customFormat="false" ht="24" hidden="false" customHeight="true" outlineLevel="0" collapsed="false">
      <c r="A4" s="68" t="s">
        <v>1585</v>
      </c>
      <c r="B4" s="16" t="s">
        <v>25</v>
      </c>
      <c r="C4" s="19" t="s">
        <v>1586</v>
      </c>
      <c r="D4" s="59" t="s">
        <v>1587</v>
      </c>
      <c r="E4" s="30" t="s">
        <v>1588</v>
      </c>
      <c r="F4" s="69" t="s">
        <v>1589</v>
      </c>
      <c r="G4" s="28" t="s">
        <v>1590</v>
      </c>
      <c r="H4" s="70" t="s">
        <v>1591</v>
      </c>
    </row>
    <row r="5" customFormat="false" ht="42" hidden="false" customHeight="true" outlineLevel="0" collapsed="false">
      <c r="A5" s="71" t="n">
        <f aca="false">COUNTA('Lead Tracker'!B4:B253)</f>
        <v>250</v>
      </c>
      <c r="B5" s="72" t="n">
        <f aca="false">COUNTIF('Lead Tracker'!K4:K253,"Not Contacted")</f>
        <v>250</v>
      </c>
      <c r="C5" s="73" t="n">
        <f aca="false">COUNTIF('Lead Tracker'!K4:K253,"DM Sent")+COUNTIF('Lead Tracker'!K4:K253,"Email Sent")+COUNTIF('Lead Tracker'!K4:K253,"WhatsApp Sent")+COUNTIF('Lead Tracker'!K4:K253,"Call Done")</f>
        <v>0</v>
      </c>
      <c r="D5" s="74" t="n">
        <f aca="false">COUNTIF('Lead Tracker'!K4:K253,"Interested")+COUNTIF('Lead Tracker'!K4:K253,"Demo Shown")+COUNTIF('Lead Tracker'!K4:K253,"Proposal Sent")</f>
        <v>0</v>
      </c>
      <c r="E5" s="75" t="n">
        <f aca="false">COUNTIF('Lead Tracker'!K4:K253,"Closed Won")</f>
        <v>0</v>
      </c>
      <c r="F5" s="76" t="n">
        <f aca="false">COUNTIF('Lead Tracker'!K4:K253,"Closed Lost")+COUNTIF('Lead Tracker'!K4:K253,"Not Interested")</f>
        <v>0</v>
      </c>
      <c r="G5" s="77" t="n">
        <f aca="false">IFERROR(COUNTIF('Lead Tracker'!K4:K253,"Closed Won")/COUNTA('Lead Tracker'!B4:B253),0)</f>
        <v>0</v>
      </c>
      <c r="H5" s="78" t="n">
        <f aca="false">COUNTIF('Lead Tracker'!K4:K253,"Interested")*35000+COUNTIF('Lead Tracker'!K4:K253,"Proposal Sent")*40000+COUNTIF('Lead Tracker'!K4:K253,"Negotiating")*45000</f>
        <v>0</v>
      </c>
    </row>
    <row r="7" customFormat="false" ht="25.5" hidden="false" customHeight="true" outlineLevel="0" collapsed="false">
      <c r="A7" s="14" t="s">
        <v>1592</v>
      </c>
      <c r="B7" s="14"/>
      <c r="C7" s="14"/>
      <c r="D7" s="14"/>
      <c r="E7" s="14"/>
      <c r="F7" s="14"/>
      <c r="G7" s="14"/>
      <c r="H7" s="14"/>
    </row>
    <row r="8" customFormat="false" ht="25.5" hidden="false" customHeight="true" outlineLevel="0" collapsed="false">
      <c r="A8" s="4" t="s">
        <v>1593</v>
      </c>
      <c r="B8" s="4" t="s">
        <v>1594</v>
      </c>
      <c r="C8" s="4" t="s">
        <v>1595</v>
      </c>
      <c r="D8" s="4" t="s">
        <v>1596</v>
      </c>
      <c r="E8" s="4" t="s">
        <v>1597</v>
      </c>
      <c r="F8" s="4" t="s">
        <v>1598</v>
      </c>
      <c r="G8" s="4" t="s">
        <v>1599</v>
      </c>
      <c r="H8" s="4" t="s">
        <v>1600</v>
      </c>
    </row>
    <row r="9" customFormat="false" ht="24" hidden="false" customHeight="true" outlineLevel="0" collapsed="false">
      <c r="A9" s="15" t="s">
        <v>25</v>
      </c>
      <c r="B9" s="15" t="n">
        <f aca="false">COUNTIF('Lead Tracker'!K4:K253,"Not Contacted")</f>
        <v>250</v>
      </c>
      <c r="C9" s="79" t="n">
        <f aca="false">B9/B16</f>
        <v>1</v>
      </c>
      <c r="D9" s="15" t="s">
        <v>1601</v>
      </c>
      <c r="E9" s="15" t="n">
        <f aca="false">B9*C9</f>
        <v>250</v>
      </c>
      <c r="F9" s="17" t="s">
        <v>1602</v>
      </c>
      <c r="G9" s="15" t="s">
        <v>1315</v>
      </c>
      <c r="H9" s="17" t="s">
        <v>1603</v>
      </c>
    </row>
    <row r="10" customFormat="false" ht="24" hidden="false" customHeight="true" outlineLevel="0" collapsed="false">
      <c r="A10" s="80" t="s">
        <v>1604</v>
      </c>
      <c r="B10" s="80" t="n">
        <f aca="false">COUNTIF('Lead Tracker'!K4:K253,"DM Sent")+COUNTIF('Lead Tracker'!K4:K253,"Email Sent")+COUNTIF('Lead Tracker'!K4:K253,"WhatsApp Sent")</f>
        <v>0</v>
      </c>
      <c r="C10" s="81" t="n">
        <f aca="false">B10/B16</f>
        <v>0</v>
      </c>
      <c r="D10" s="80" t="s">
        <v>1605</v>
      </c>
      <c r="E10" s="80" t="n">
        <f aca="false">B10*C10</f>
        <v>0</v>
      </c>
      <c r="F10" s="82" t="s">
        <v>1606</v>
      </c>
      <c r="G10" s="80" t="s">
        <v>1607</v>
      </c>
      <c r="H10" s="82" t="s">
        <v>1608</v>
      </c>
    </row>
    <row r="11" customFormat="false" ht="24" hidden="false" customHeight="true" outlineLevel="0" collapsed="false">
      <c r="A11" s="18" t="s">
        <v>1609</v>
      </c>
      <c r="B11" s="18" t="n">
        <f aca="false">COUNTIF('Lead Tracker'!K4:K253,"Call Done")</f>
        <v>0</v>
      </c>
      <c r="C11" s="83" t="n">
        <f aca="false">B11/B16</f>
        <v>0</v>
      </c>
      <c r="D11" s="18" t="s">
        <v>1610</v>
      </c>
      <c r="E11" s="18" t="n">
        <f aca="false">B11*C11</f>
        <v>0</v>
      </c>
      <c r="F11" s="20" t="s">
        <v>1611</v>
      </c>
      <c r="G11" s="18" t="s">
        <v>1612</v>
      </c>
      <c r="H11" s="20" t="s">
        <v>1613</v>
      </c>
    </row>
    <row r="12" customFormat="false" ht="24" hidden="false" customHeight="true" outlineLevel="0" collapsed="false">
      <c r="A12" s="21" t="s">
        <v>1614</v>
      </c>
      <c r="B12" s="21" t="n">
        <f aca="false">COUNTIF('Lead Tracker'!K4:K253,"Interested")+COUNTIF('Lead Tracker'!K4:K253,"Demo Shown")</f>
        <v>0</v>
      </c>
      <c r="C12" s="84" t="n">
        <f aca="false">B12/B16</f>
        <v>0</v>
      </c>
      <c r="D12" s="21" t="s">
        <v>1615</v>
      </c>
      <c r="E12" s="21" t="n">
        <f aca="false">B12*C12</f>
        <v>0</v>
      </c>
      <c r="F12" s="23" t="s">
        <v>1616</v>
      </c>
      <c r="G12" s="21" t="s">
        <v>1617</v>
      </c>
      <c r="H12" s="23" t="s">
        <v>1618</v>
      </c>
    </row>
    <row r="13" customFormat="false" ht="24" hidden="false" customHeight="true" outlineLevel="0" collapsed="false">
      <c r="A13" s="85" t="s">
        <v>1619</v>
      </c>
      <c r="B13" s="85" t="n">
        <f aca="false">COUNTIF('Lead Tracker'!K4:K253,"Proposal Sent")</f>
        <v>0</v>
      </c>
      <c r="C13" s="86" t="n">
        <f aca="false">B13/B16</f>
        <v>0</v>
      </c>
      <c r="D13" s="85" t="s">
        <v>1620</v>
      </c>
      <c r="E13" s="85" t="n">
        <f aca="false">B13*C13</f>
        <v>0</v>
      </c>
      <c r="F13" s="87" t="s">
        <v>1621</v>
      </c>
      <c r="G13" s="85" t="s">
        <v>1622</v>
      </c>
      <c r="H13" s="87" t="s">
        <v>1623</v>
      </c>
    </row>
    <row r="14" customFormat="false" ht="24" hidden="false" customHeight="true" outlineLevel="0" collapsed="false">
      <c r="A14" s="88" t="s">
        <v>1624</v>
      </c>
      <c r="B14" s="88" t="n">
        <f aca="false">COUNTIF('Lead Tracker'!K4:K253,"Negotiating")</f>
        <v>0</v>
      </c>
      <c r="C14" s="89" t="n">
        <f aca="false">B14/B16</f>
        <v>0</v>
      </c>
      <c r="D14" s="88" t="s">
        <v>1625</v>
      </c>
      <c r="E14" s="88" t="n">
        <f aca="false">B14*C14</f>
        <v>0</v>
      </c>
      <c r="F14" s="90" t="s">
        <v>1626</v>
      </c>
      <c r="G14" s="88" t="s">
        <v>1627</v>
      </c>
      <c r="H14" s="90" t="s">
        <v>1628</v>
      </c>
    </row>
    <row r="15" customFormat="false" ht="24" hidden="false" customHeight="true" outlineLevel="0" collapsed="false">
      <c r="A15" s="91" t="s">
        <v>1588</v>
      </c>
      <c r="B15" s="91" t="n">
        <f aca="false">COUNTIF('Lead Tracker'!K4:K253,"Closed Won")</f>
        <v>0</v>
      </c>
      <c r="C15" s="92" t="n">
        <f aca="false">B15/B16</f>
        <v>0</v>
      </c>
      <c r="D15" s="91" t="s">
        <v>1629</v>
      </c>
      <c r="E15" s="91" t="n">
        <f aca="false">SUMIF('Lead Tracker'!K4:K253,"Closed Won",'Lead Tracker'!N4:N253)</f>
        <v>0</v>
      </c>
      <c r="F15" s="93" t="s">
        <v>1630</v>
      </c>
      <c r="G15" s="91" t="s">
        <v>1631</v>
      </c>
      <c r="H15" s="93" t="s">
        <v>1632</v>
      </c>
    </row>
    <row r="16" customFormat="false" ht="24" hidden="false" customHeight="true" outlineLevel="0" collapsed="false">
      <c r="A16" s="28" t="s">
        <v>1633</v>
      </c>
      <c r="B16" s="28" t="n">
        <f aca="false">SUM(B9:B15)</f>
        <v>250</v>
      </c>
      <c r="C16" s="28"/>
      <c r="D16" s="28"/>
      <c r="E16" s="28" t="n">
        <f aca="false">SUM(E9:E15)</f>
        <v>250</v>
      </c>
      <c r="F16" s="94"/>
      <c r="G16" s="28"/>
      <c r="H16" s="94" t="s">
        <v>1634</v>
      </c>
    </row>
    <row r="18" customFormat="false" ht="25.5" hidden="false" customHeight="true" outlineLevel="0" collapsed="false">
      <c r="A18" s="14" t="s">
        <v>1635</v>
      </c>
      <c r="B18" s="14"/>
      <c r="C18" s="14"/>
      <c r="D18" s="14"/>
      <c r="E18" s="14"/>
      <c r="F18" s="14"/>
      <c r="G18" s="14"/>
      <c r="H18" s="14"/>
    </row>
    <row r="19" customFormat="false" ht="24" hidden="false" customHeight="true" outlineLevel="0" collapsed="false">
      <c r="A19" s="4" t="s">
        <v>1636</v>
      </c>
      <c r="B19" s="95" t="s">
        <v>1637</v>
      </c>
      <c r="C19" s="95"/>
      <c r="D19" s="95"/>
      <c r="E19" s="95"/>
      <c r="F19" s="95"/>
      <c r="G19" s="95"/>
      <c r="H19" s="95"/>
    </row>
    <row r="20" customFormat="false" ht="24" hidden="false" customHeight="true" outlineLevel="0" collapsed="false">
      <c r="A20" s="4" t="s">
        <v>1638</v>
      </c>
      <c r="B20" s="96" t="s">
        <v>1639</v>
      </c>
      <c r="C20" s="96"/>
      <c r="D20" s="96"/>
      <c r="E20" s="96"/>
      <c r="F20" s="96"/>
      <c r="G20" s="96"/>
      <c r="H20" s="96"/>
    </row>
    <row r="21" customFormat="false" ht="24" hidden="false" customHeight="true" outlineLevel="0" collapsed="false">
      <c r="A21" s="4" t="s">
        <v>1640</v>
      </c>
      <c r="B21" s="95" t="s">
        <v>1641</v>
      </c>
      <c r="C21" s="95"/>
      <c r="D21" s="95"/>
      <c r="E21" s="95"/>
      <c r="F21" s="95"/>
      <c r="G21" s="95"/>
      <c r="H21" s="95"/>
    </row>
    <row r="22" customFormat="false" ht="24" hidden="false" customHeight="true" outlineLevel="0" collapsed="false">
      <c r="A22" s="4" t="s">
        <v>1642</v>
      </c>
      <c r="B22" s="96" t="s">
        <v>1643</v>
      </c>
      <c r="C22" s="96"/>
      <c r="D22" s="96"/>
      <c r="E22" s="96"/>
      <c r="F22" s="96"/>
      <c r="G22" s="96"/>
      <c r="H22" s="96"/>
    </row>
    <row r="23" customFormat="false" ht="24" hidden="false" customHeight="true" outlineLevel="0" collapsed="false">
      <c r="A23" s="4" t="s">
        <v>1644</v>
      </c>
      <c r="B23" s="95" t="s">
        <v>1645</v>
      </c>
      <c r="C23" s="95"/>
      <c r="D23" s="95"/>
      <c r="E23" s="95"/>
      <c r="F23" s="95"/>
      <c r="G23" s="95"/>
      <c r="H23" s="95"/>
    </row>
    <row r="24" customFormat="false" ht="24" hidden="false" customHeight="true" outlineLevel="0" collapsed="false">
      <c r="A24" s="4" t="s">
        <v>1646</v>
      </c>
      <c r="B24" s="96" t="s">
        <v>1647</v>
      </c>
      <c r="C24" s="96"/>
      <c r="D24" s="96"/>
      <c r="E24" s="96"/>
      <c r="F24" s="96"/>
      <c r="G24" s="96"/>
      <c r="H24" s="96"/>
    </row>
    <row r="25" customFormat="false" ht="24" hidden="false" customHeight="true" outlineLevel="0" collapsed="false">
      <c r="A25" s="4" t="s">
        <v>1648</v>
      </c>
      <c r="B25" s="95" t="s">
        <v>1649</v>
      </c>
      <c r="C25" s="95"/>
      <c r="D25" s="95"/>
      <c r="E25" s="95"/>
      <c r="F25" s="95"/>
      <c r="G25" s="95"/>
      <c r="H25" s="95"/>
    </row>
  </sheetData>
  <mergeCells count="11">
    <mergeCell ref="A1:H1"/>
    <mergeCell ref="A3:H3"/>
    <mergeCell ref="A7:H7"/>
    <mergeCell ref="A18:H18"/>
    <mergeCell ref="B19:H19"/>
    <mergeCell ref="B20:H20"/>
    <mergeCell ref="B21:H21"/>
    <mergeCell ref="B22:H22"/>
    <mergeCell ref="B23:H23"/>
    <mergeCell ref="B24:H24"/>
    <mergeCell ref="B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2026-03-29T07:51:41Z</dcterms:created>
  <dc:creator>openpyxl</dc:creator>
  <dc:description/>
  <dc:language>en-US</dc:language>
  <cp:lastModifiedBy/>
  <dcterms:modified xsi:type="dcterms:W3CDTF">2026-03-29T07:52:11Z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